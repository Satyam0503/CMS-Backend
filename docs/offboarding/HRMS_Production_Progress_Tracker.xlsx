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0e0bfcbd1f41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8ded9ecfb736446c"/>
    <x:sheet xmlns:r="http://schemas.openxmlformats.org/officeDocument/2006/relationships" name="Master Feature Tracker" sheetId="2" r:id="Rc9f315bc15664257"/>
    <x:sheet xmlns:r="http://schemas.openxmlformats.org/officeDocument/2006/relationships" name="Module Summary" sheetId="3" r:id="Re87a677e12dd4804"/>
    <x:sheet xmlns:r="http://schemas.openxmlformats.org/officeDocument/2006/relationships" name="Roadmap Priorities" sheetId="4" r:id="R25c71ad29ab643b6"/>
    <x:sheet xmlns:r="http://schemas.openxmlformats.org/officeDocument/2006/relationships" name="Future Vision" sheetId="5" r:id="R71000d5502404fc1"/>
    <x:sheet xmlns:r="http://schemas.openxmlformats.org/officeDocument/2006/relationships" name="Company Onboarding Vision" sheetId="6" r:id="R6909b81e9ad2434f"/>
    <x:sheet xmlns:r="http://schemas.openxmlformats.org/officeDocument/2006/relationships" name="Bugs &amp; Tech Debt" sheetId="7" r:id="R65749ba1dfc246f5"/>
    <x:sheet xmlns:r="http://schemas.openxmlformats.org/officeDocument/2006/relationships" name="Releases Milestones" sheetId="8" r:id="R15a12efec246468e"/>
    <x:sheet xmlns:r="http://schemas.openxmlformats.org/officeDocument/2006/relationships" name="Definitions Dropdowns" sheetId="9" r:id="R770d0d33736d423d"/>
    <x:sheet xmlns:r="http://schemas.openxmlformats.org/officeDocument/2006/relationships" name="Change Log" sheetId="10" r:id="Rdc8d012af9fc4c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yyyy-mm-dd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i/>
      <x:sz val="11"/>
      <x:color rgb="FF333355"/>
      <x:name val="Carlito"/>
    </x:font>
    <x:font>
      <x:b/>
      <x:sz val="16"/>
      <x:color rgb="FF17365D"/>
      <x:name val="Carlito"/>
    </x:font>
    <x:font>
      <x:b/>
      <x:sz val="11"/>
      <x:color rgb="FF7F60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EAF4F4"/>
      </x:patternFill>
    </x:fill>
    <x:fill>
      <x:patternFill patternType="solid">
        <x:fgColor rgb="FFF3F6F9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4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200" fontId="4" fillId="5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vertical="top"/>
    </x:xf>
    <x:xf numFmtId="0" fontId="0" fillId="0" borderId="0" xfId="0" applyNumberFormat="1" applyFont="1" applyFill="1" applyBorder="1" applyAlignment="1">
      <x:alignment vertical="top"/>
    </x:xf>
    <x:xf numFmtId="0" fontId="3" fillId="4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horizontal="center" vertical="top"/>
    </x:xf>
    <x:xf numFmtId="200" fontId="4" fillId="5" borderId="0" xfId="0" applyNumberFormat="1" applyFont="1" applyFill="1" applyBorder="1" applyAlignment="1">
      <x:alignment horizontal="center" vertical="top"/>
    </x:xf>
    <x:xf numFmtId="0" fontId="4" fillId="5" borderId="0" xfId="0" applyNumberFormat="1" applyFont="1" applyFill="1" applyBorder="1" applyAlignment="1">
      <x:alignment horizontal="center" vertical="top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5" fillId="6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/>
    </x:xf>
    <x:xf numFmtId="201" fontId="0" fillId="0" borderId="0" xfId="0" applyNumberFormat="1" applyFont="1" applyFill="1" applyBorder="1" applyAlignment="1">
      <x:alignment vertical="top"/>
    </x:xf>
  </x:cellXfs>
  <x:cellStyles count="1">
    <x:cellStyle name="Normal" xfId="0"/>
  </x:cellStyles>
  <x:dxfs count="2">
    <x:dxf>
      <x:font>
        <x:b/>
        <x:color rgb="FF9C0006"/>
      </x:font>
      <x:fill>
        <x:patternFill patternType="solid">
          <x:bgColor rgb="FFF8CBAD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8e77b6999c4088" /><Relationship Type="http://schemas.openxmlformats.org/officeDocument/2006/relationships/theme" Target="/xl/theme/theme1.xml" Id="R270a2d066be24045" /><Relationship Type="http://schemas.openxmlformats.org/officeDocument/2006/relationships/sharedStrings" Target="/xl/sharedStrings.xml" Id="R86fc97bb8925464c" /><Relationship Type="http://schemas.openxmlformats.org/officeDocument/2006/relationships/worksheet" Target="/xl/worksheets/sheet1.xml" Id="R8ded9ecfb736446c" /><Relationship Type="http://schemas.openxmlformats.org/officeDocument/2006/relationships/worksheet" Target="/xl/worksheets/sheet2.xml" Id="Rc9f315bc15664257" /><Relationship Type="http://schemas.openxmlformats.org/officeDocument/2006/relationships/worksheet" Target="/xl/worksheets/sheet3.xml" Id="Re87a677e12dd4804" /><Relationship Type="http://schemas.openxmlformats.org/officeDocument/2006/relationships/worksheet" Target="/xl/worksheets/sheet4.xml" Id="R25c71ad29ab643b6" /><Relationship Type="http://schemas.openxmlformats.org/officeDocument/2006/relationships/worksheet" Target="/xl/worksheets/sheet5.xml" Id="R71000d5502404fc1" /><Relationship Type="http://schemas.openxmlformats.org/officeDocument/2006/relationships/worksheet" Target="/xl/worksheets/sheet6.xml" Id="R6909b81e9ad2434f" /><Relationship Type="http://schemas.openxmlformats.org/officeDocument/2006/relationships/worksheet" Target="/xl/worksheets/sheet7.xml" Id="R65749ba1dfc246f5" /><Relationship Type="http://schemas.openxmlformats.org/officeDocument/2006/relationships/worksheet" Target="/xl/worksheets/sheet8.xml" Id="R15a12efec246468e" /><Relationship Type="http://schemas.openxmlformats.org/officeDocument/2006/relationships/worksheet" Target="/xl/worksheets/sheet9.xml" Id="R770d0d33736d423d" /><Relationship Type="http://schemas.openxmlformats.org/officeDocument/2006/relationships/worksheet" Target="/xl/worksheets/sheet10.xml" Id="Rdc8d012af9fc4c28" /></Relationships>
</file>

<file path=xl/tables/table1.xml><?xml version="1.0" encoding="utf-8"?>
<x:table xmlns:x="http://schemas.openxmlformats.org/spreadsheetml/2006/main" id="2" name="MasterFeatures" displayName="MasterFeatures" ref="A3:AC21" headerRowCount="1" totalsRowCount="0" totalsRowShown="0">
  <x:tableColumns count="29">
    <x:tableColumn id="1" name="ID"/>
    <x:tableColumn id="2" name="Module"/>
    <x:tableColumn id="3" name="Feature"/>
    <x:tableColumn id="4" name="Sub-feature / Scope"/>
    <x:tableColumn id="5" name="Layer"/>
    <x:tableColumn id="6" name="UI"/>
    <x:tableColumn id="7" name="Backend / API"/>
    <x:tableColumn id="8" name="Database"/>
    <x:tableColumn id="9" name="Business Rules"/>
    <x:tableColumn id="10" name="Permissions / Security"/>
    <x:tableColumn id="11" name="Integrations"/>
    <x:tableColumn id="12" name="Testing"/>
    <x:tableColumn id="13" name="Documentation"/>
    <x:tableColumn id="14" name="Bugs / Dependencies"/>
    <x:tableColumn id="15" name="Owner"/>
    <x:tableColumn id="16" name="Priority"/>
    <x:tableColumn id="17" name="Status"/>
    <x:tableColumn id="18" name="% Complete"/>
    <x:tableColumn id="19" name="Production Readiness"/>
    <x:tableColumn id="20" name="Start Date"/>
    <x:tableColumn id="21" name="Target Date"/>
    <x:tableColumn id="22" name="Release / Milestone"/>
    <x:tableColumn id="23" name="Risk"/>
    <x:tableColumn id="24" name="Blocker"/>
    <x:tableColumn id="25" name="Next Action"/>
    <x:tableColumn id="26" name="Technical Debt"/>
    <x:tableColumn id="27" name="Notes"/>
    <x:tableColumn id="28" name="Evidence / Source"/>
    <x:tableColumn id="29" name="Verifica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3" name="ModuleSummary" displayName="ModuleSummary" ref="A3:J17" headerRowCount="1" totalsRowCount="0" totalsRowShown="0">
  <x:tableColumns count="10">
    <x:tableColumn id="1" name="Module"/>
    <x:tableColumn id="2" name="Features"/>
    <x:tableColumn id="3" name="Avg % Complete"/>
    <x:tableColumn id="4" name="Done"/>
    <x:tableColumn id="5" name="Blocked"/>
    <x:tableColumn id="6" name="Critical/High"/>
    <x:tableColumn id="7" name="Needs QA"/>
    <x:tableColumn id="8" name="Not Ready"/>
    <x:tableColumn id="9" name="Production Ready"/>
    <x:tableColumn id="10" name="Management Note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4" name="RoadmapTable" displayName="RoadmapTable" ref="A3:L8" headerRowCount="1" totalsRowCount="0" totalsRowShown="0">
  <x:tableColumns count="12">
    <x:tableColumn id="1" name="Sequence"/>
    <x:tableColumn id="2" name="Theme"/>
    <x:tableColumn id="3" name="Goal"/>
    <x:tableColumn id="4" name="Priority"/>
    <x:tableColumn id="5" name="Target Release"/>
    <x:tableColumn id="6" name="Entry Criteria"/>
    <x:tableColumn id="7" name="Exit / Evidence"/>
    <x:tableColumn id="8" name="Dependencies / Risks"/>
    <x:tableColumn id="9" name="Decision Needed"/>
    <x:tableColumn id="10" name="Owner"/>
    <x:tableColumn id="11" name="Status"/>
    <x:tableColumn id="12" name="Notes"/>
  </x:tableColumns>
  <x:tableStyleInfo name="TableStyleMedium9" showFirstColumn="0" showLastColumn="0" showRowStripes="1" showColumnStripes="0"/>
</x:table>
</file>

<file path=xl/tables/table4.xml><?xml version="1.0" encoding="utf-8"?>
<x:table xmlns:x="http://schemas.openxmlformats.org/spreadsheetml/2006/main" id="5" name="FutureVisionTable" displayName="FutureVisionTable" ref="A3:N7" headerRowCount="1" totalsRowCount="0" totalsRowShown="0">
  <x:tableColumns count="14">
    <x:tableColumn id="1" name="Vision ID"/>
    <x:tableColumn id="2" name="Theme"/>
    <x:tableColumn id="3" name="Idea / Opportunity"/>
    <x:tableColumn id="4" name="Problem / Customer Value"/>
    <x:tableColumn id="5" name="Target Segment"/>
    <x:tableColumn id="6" name="Hypothesis"/>
    <x:tableColumn id="7" name="Scope / MVP"/>
    <x:tableColumn id="8" name="Success Metric"/>
    <x:tableColumn id="9" name="Priority"/>
    <x:tableColumn id="10" name="Status"/>
    <x:tableColumn id="11" name="Dependencies"/>
    <x:tableColumn id="12" name="Risks / Assumptions"/>
    <x:tableColumn id="13" name="Decision / Next Experiment"/>
    <x:tableColumn id="14" name="Owner"/>
  </x:tableColumns>
  <x:tableStyleInfo name="TableStyleMedium7" showFirstColumn="0" showLastColumn="0" showRowStripes="1" showColumnStripes="0"/>
</x:table>
</file>

<file path=xl/tables/table5.xml><?xml version="1.0" encoding="utf-8"?>
<x:table xmlns:x="http://schemas.openxmlformats.org/spreadsheetml/2006/main" id="6" name="CompanyOnboardingVision" displayName="CompanyOnboardingVision" ref="A3:K10" headerRowCount="1" totalsRowCount="0" totalsRowShown="0">
  <x:tableColumns count="11">
    <x:tableColumn id="1" name="Step"/>
    <x:tableColumn id="2" name="Journey Stage"/>
    <x:tableColumn id="3" name="User Experience"/>
    <x:tableColumn id="4" name="System / Data Requirement"/>
    <x:tableColumn id="5" name="Security / Permissions"/>
    <x:tableColumn id="6" name="Small Company Default"/>
    <x:tableColumn id="7" name="Large Company / Enterprise Option"/>
    <x:tableColumn id="8" name="Definition of Done"/>
    <x:tableColumn id="9" name="Status"/>
    <x:tableColumn id="10" name="Priority"/>
    <x:tableColumn id="11" name="Open Question"/>
  </x:tableColumns>
  <x:tableStyleInfo name="TableStyleMedium5" showFirstColumn="0" showLastColumn="0" showRowStripes="1" showColumnStripes="0"/>
</x:table>
</file>

<file path=xl/tables/table6.xml><?xml version="1.0" encoding="utf-8"?>
<x:table xmlns:x="http://schemas.openxmlformats.org/spreadsheetml/2006/main" id="7" name="BugsTechDebt" displayName="BugsTechDebt" ref="A3:N11" headerRowCount="1" totalsRowCount="0" totalsRowShown="0">
  <x:tableColumns count="14">
    <x:tableColumn id="1" name="ID"/>
    <x:tableColumn id="2" name="Type"/>
    <x:tableColumn id="3" name="Area"/>
    <x:tableColumn id="4" name="Finding / Debt"/>
    <x:tableColumn id="5" name="Impact"/>
    <x:tableColumn id="6" name="Severity"/>
    <x:tableColumn id="7" name="Status"/>
    <x:tableColumn id="8" name="Evidence / Source"/>
    <x:tableColumn id="9" name="Verification"/>
    <x:tableColumn id="10" name="Mitigation / Next Action"/>
    <x:tableColumn id="11" name="Owner"/>
    <x:tableColumn id="12" name="Target Date"/>
    <x:tableColumn id="13" name="Release"/>
    <x:tableColumn id="14" name="Blocker?"/>
  </x:tableColumns>
  <x:tableStyleInfo name="TableStyleMedium3" showFirstColumn="0" showLastColumn="0" showRowStripes="1" showColumnStripes="0"/>
</x:table>
</file>

<file path=xl/tables/table7.xml><?xml version="1.0" encoding="utf-8"?>
<x:table xmlns:x="http://schemas.openxmlformats.org/spreadsheetml/2006/main" id="8" name="ReleasesMilestones" displayName="ReleasesMilestones" ref="A3:L7" headerRowCount="1" totalsRowCount="0" totalsRowShown="0">
  <x:tableColumns count="12">
    <x:tableColumn id="1" name="Release / Milestone"/>
    <x:tableColumn id="2" name="Objective"/>
    <x:tableColumn id="3" name="Scope"/>
    <x:tableColumn id="4" name="Entry Criteria"/>
    <x:tableColumn id="5" name="Exit Criteria"/>
    <x:tableColumn id="6" name="Readiness"/>
    <x:tableColumn id="7" name="Target Date"/>
    <x:tableColumn id="8" name="Actual Date"/>
    <x:tableColumn id="9" name="Owner"/>
    <x:tableColumn id="10" name="Status"/>
    <x:tableColumn id="11" name="Risks / Blockers"/>
    <x:tableColumn id="12" name="Evidence"/>
  </x:tableColumns>
  <x:tableStyleInfo name="TableStyleMedium6" showFirstColumn="0" showLastColumn="0" showRowStripes="1" showColumnStripes="0"/>
</x:table>
</file>

<file path=xl/tables/table8.xml><?xml version="1.0" encoding="utf-8"?>
<x:table xmlns:x="http://schemas.openxmlformats.org/spreadsheetml/2006/main" id="1" name="DefinitionsTable" displayName="DefinitionsTable" ref="A3:H10" headerRowCount="1" totalsRowCount="0" totalsRowShown="0">
  <x:tableColumns count="8">
    <x:tableColumn id="1" name="Status"/>
    <x:tableColumn id="2" name="Priority"/>
    <x:tableColumn id="3" name="Readiness"/>
    <x:tableColumn id="4" name="Verification"/>
    <x:tableColumn id="5" name="Risk"/>
    <x:tableColumn id="6" name="Owner"/>
    <x:tableColumn id="7" name="Layer"/>
    <x:tableColumn id="8" name="Change Type"/>
  </x:tableColumns>
  <x:tableStyleInfo name="TableStyleMedium4" showFirstColumn="0" showLastColumn="0" showRowStripes="1" showColumnStripes="0"/>
</x:table>
</file>

<file path=xl/tables/table9.xml><?xml version="1.0" encoding="utf-8"?>
<x:table xmlns:x="http://schemas.openxmlformats.org/spreadsheetml/2006/main" id="9" name="ChangeLog" displayName="ChangeLog" ref="A3:J5" headerRowCount="1" totalsRowCount="0" totalsRowShown="0">
  <x:tableColumns count="10">
    <x:tableColumn id="1" name="Change ID"/>
    <x:tableColumn id="2" name="Date"/>
    <x:tableColumn id="3" name="Changed By"/>
    <x:tableColumn id="4" name="Sheet / Item"/>
    <x:tableColumn id="5" name="Change Type"/>
    <x:tableColumn id="6" name="Before"/>
    <x:tableColumn id="7" name="After"/>
    <x:tableColumn id="8" name="Reason / Decision"/>
    <x:tableColumn id="9" name="Evidence Link / Source"/>
    <x:tableColumn id="10" name="Follow-up"/>
  </x:tableColumns>
  <x:tableStyleInfo name="TableStyleMedium8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004d15abca9400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ca5268c4e0d4e3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01d8963ef60429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da102a37362413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27ae3e160f2457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db195b9ca6c478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87d6fc106be41e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535d2c5e5c143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894a84c52a7e401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3" hidden="0" customWidth="1"/>
    <x:col min="3" max="3" width="18" hidden="0" customWidth="1"/>
    <x:col min="4" max="4" width="13" hidden="0" customWidth="1"/>
    <x:col min="5" max="5" width="4" hidden="0" customWidth="1"/>
    <x:col min="6" max="6" width="22" hidden="0" customWidth="1"/>
    <x:col min="7" max="7" width="13" hidden="0" customWidth="1"/>
    <x:col min="8" max="8" width="20" hidden="0" customWidth="1"/>
    <x:col min="9" max="9" width="13" hidden="0" customWidth="1"/>
    <x:col min="10" max="10" width="19" hidden="0" customWidth="1"/>
    <x:col min="11" max="11" width="4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30" customHeight="1">
      <x:c r="A1" s="30" t="str">
        <x:v>HRMS Delivery Command Center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</x:row>
    <x:row r="2">
      <x:c r="A2" s="31"/>
      <x:c r="B2" s="31"/>
      <x:c r="C2" s="31"/>
      <x:c r="D2" s="31"/>
      <x:c r="E2" s="31"/>
      <x:c r="F2" s="31"/>
      <x:c r="G2" s="31"/>
      <x:c r="H2" s="31"/>
      <x:c r="I2" s="31"/>
      <x:c r="J2" s="31"/>
      <x:c r="K2" s="31"/>
      <x:c r="L2" s="31"/>
    </x:row>
    <x:row r="3">
      <x:c r="A3" s="32" t="str">
        <x:v>Live formulas update when the Master Feature Tracker is edited. Empty dates and owners are intentional editable placeholders.</x:v>
      </x:c>
      <x:c r="B3" s="31"/>
      <x:c r="C3" s="31"/>
      <x:c r="D3" s="31"/>
      <x:c r="E3" s="31"/>
      <x:c r="F3" s="31"/>
      <x:c r="G3" s="31"/>
      <x:c r="H3" s="31"/>
      <x:c r="I3" s="31"/>
      <x:c r="J3" s="31"/>
      <x:c r="K3" s="31"/>
      <x:c r="L3" s="31"/>
    </x:row>
    <x:row r="4">
      <x:c r="A4" s="31"/>
      <x:c r="B4" s="31"/>
      <x:c r="C4" s="31"/>
      <x:c r="D4" s="31"/>
      <x:c r="E4" s="31"/>
      <x:c r="F4" s="31"/>
      <x:c r="G4" s="31"/>
      <x:c r="H4" s="31"/>
      <x:c r="I4" s="31"/>
      <x:c r="J4" s="31"/>
      <x:c r="K4" s="31"/>
      <x:c r="L4" s="31"/>
    </x:row>
    <x:row r="5">
      <x:c r="A5" s="33" t="str">
        <x:v>Overall progress</x:v>
      </x:c>
      <x:c r="B5" s="33"/>
      <x:c r="C5" s="33" t="str">
        <x:v>Tracked features</x:v>
      </x:c>
      <x:c r="D5" s="33"/>
      <x:c r="E5" s="33" t="str">
        <x:v>Blocked</x:v>
      </x:c>
      <x:c r="F5" s="33"/>
      <x:c r="G5" s="33" t="str">
        <x:v>Needs QA</x:v>
      </x:c>
      <x:c r="H5" s="33"/>
      <x:c r="I5" s="33" t="str">
        <x:v>Not ready</x:v>
      </x:c>
      <x:c r="J5" s="33"/>
      <x:c r="K5" s="33" t="str">
        <x:v>Critical / High</x:v>
      </x:c>
      <x:c r="L5" s="33"/>
    </x:row>
    <x:row r="6">
      <x:c r="A6" s="34" t="n">
        <x:f>AVERAGE('Master Feature Tracker'!$R$4:$R$253)</x:f>
        <x:v>0.6416666666666666</x:v>
      </x:c>
      <x:c r="B6" s="34"/>
      <x:c r="C6" s="35" t="n">
        <x:f>COUNTA('Master Feature Tracker'!$A$4:$A$253)</x:f>
        <x:v>18</x:v>
      </x:c>
      <x:c r="D6" s="35"/>
      <x:c r="E6" s="35" t="n">
        <x:f>COUNTIF('Master Feature Tracker'!$Q$4:$Q$253,"Blocked")</x:f>
        <x:v>0</x:v>
      </x:c>
      <x:c r="F6" s="35"/>
      <x:c r="G6" s="35" t="n">
        <x:f>COUNTIF('Master Feature Tracker'!$S$4:$S$253,"Needs QA")</x:f>
        <x:v>16</x:v>
      </x:c>
      <x:c r="H6" s="35"/>
      <x:c r="I6" s="35" t="n">
        <x:f>COUNTIF('Master Feature Tracker'!$S$4:$S$253,"Not Ready")</x:f>
        <x:v>2</x:v>
      </x:c>
      <x:c r="J6" s="35"/>
      <x:c r="K6" s="35" t="n">
        <x:f>COUNTIF('Master Feature Tracker'!$P$4:$P$253,"Critical")+COUNTIF('Master Feature Tracker'!$P$4:$P$253,"High")</x:f>
        <x:v>15</x:v>
      </x:c>
      <x:c r="L6" s="35"/>
    </x:row>
    <x:row r="7">
      <x:c r="A7" s="31"/>
      <x:c r="B7" s="31"/>
      <x:c r="C7" s="31"/>
      <x:c r="D7" s="31"/>
      <x:c r="E7" s="31"/>
      <x:c r="F7" s="31"/>
      <x:c r="G7" s="31"/>
      <x:c r="H7" s="31"/>
      <x:c r="I7" s="31"/>
      <x:c r="J7" s="31"/>
      <x:c r="K7" s="31"/>
      <x:c r="L7" s="31"/>
    </x:row>
    <x:row r="8">
      <x:c r="A8" s="31"/>
      <x:c r="B8" s="31"/>
      <x:c r="C8" s="31"/>
      <x:c r="D8" s="31"/>
      <x:c r="E8" s="31"/>
      <x:c r="F8" s="31"/>
      <x:c r="G8" s="31"/>
      <x:c r="H8" s="31"/>
      <x:c r="I8" s="31"/>
      <x:c r="J8" s="31"/>
      <x:c r="K8" s="31"/>
      <x:c r="L8" s="31"/>
    </x:row>
    <x:row r="9">
      <x:c r="A9" s="36" t="str">
        <x:v>Status</x:v>
      </x:c>
      <x:c r="B9" s="36" t="str">
        <x:v>Count</x:v>
      </x:c>
      <x:c r="C9" s="36" t="str">
        <x:v>Priority</x:v>
      </x:c>
      <x:c r="D9" s="36" t="str">
        <x:v>Count</x:v>
      </x:c>
      <x:c r="E9" s="31"/>
      <x:c r="F9" s="36" t="str">
        <x:v>Production readiness</x:v>
      </x:c>
      <x:c r="G9" s="36" t="str">
        <x:v>Count</x:v>
      </x:c>
      <x:c r="H9" s="36" t="str">
        <x:v>Layer</x:v>
      </x:c>
      <x:c r="I9" s="36" t="str">
        <x:v>Count</x:v>
      </x:c>
      <x:c r="J9" s="36" t="str">
        <x:v>Overdue</x:v>
      </x:c>
      <x:c r="K9" s="31"/>
      <x:c r="L9" s="31"/>
    </x:row>
    <x:row r="10">
      <x:c r="A10" s="31" t="str">
        <x:v>Not Started</x:v>
      </x:c>
      <x:c r="B10" s="31" t="n">
        <x:f>COUNTIF('Master Feature Tracker'!$Q$4:$Q$253,A10)</x:f>
        <x:v>0</x:v>
      </x:c>
      <x:c r="C10" s="31" t="str">
        <x:v>Critical</x:v>
      </x:c>
      <x:c r="D10" s="31" t="n">
        <x:f>COUNTIF('Master Feature Tracker'!$P$4:$P$253,C10)</x:f>
        <x:v>6</x:v>
      </x:c>
      <x:c r="E10" s="31"/>
      <x:c r="F10" s="31" t="str">
        <x:v>Not Ready</x:v>
      </x:c>
      <x:c r="G10" s="31" t="n">
        <x:f>COUNTIF('Master Feature Tracker'!$S$4:$S$253,F10)</x:f>
        <x:v>2</x:v>
      </x:c>
      <x:c r="H10" s="31" t="str">
        <x:v>Full stack</x:v>
      </x:c>
      <x:c r="I10" s="31" t="n">
        <x:f>COUNTIF('Master Feature Tracker'!$E$4:$E$253,H10)</x:f>
        <x:v>14</x:v>
      </x:c>
      <x:c r="J10" s="31" t="n">
        <x:f>COUNTIFS('Master Feature Tracker'!$U$4:$U$253,"&lt;&gt;",'Master Feature Tracker'!$U$4:$U$253,"&lt;"&amp;TODAY(),'Master Feature Tracker'!$Q$4:$Q$253,"&lt;&gt;Done")</x:f>
        <x:v>0</x:v>
      </x:c>
      <x:c r="K10" s="31"/>
      <x:c r="L10" s="31"/>
    </x:row>
    <x:row r="11">
      <x:c r="A11" s="31" t="str">
        <x:v>Planned</x:v>
      </x:c>
      <x:c r="B11" s="31" t="n">
        <x:f>COUNTIF('Master Feature Tracker'!$Q$4:$Q$253,A11)</x:f>
        <x:v>2</x:v>
      </x:c>
      <x:c r="C11" s="31" t="str">
        <x:v>High</x:v>
      </x:c>
      <x:c r="D11" s="31" t="n">
        <x:f>COUNTIF('Master Feature Tracker'!$P$4:$P$253,C11)</x:f>
        <x:v>9</x:v>
      </x:c>
      <x:c r="E11" s="31"/>
      <x:c r="F11" s="31" t="str">
        <x:v>In Build</x:v>
      </x:c>
      <x:c r="G11" s="31" t="n">
        <x:f>COUNTIF('Master Feature Tracker'!$S$4:$S$253,F11)</x:f>
        <x:v>0</x:v>
      </x:c>
      <x:c r="H11" s="31" t="str">
        <x:v>Backend/API + UI</x:v>
      </x:c>
      <x:c r="I11" s="31" t="n">
        <x:f>COUNTIF('Master Feature Tracker'!$E$4:$E$253,H11)</x:f>
        <x:v>2</x:v>
      </x:c>
      <x:c r="J11" s="31" t="str">
        <x:v>Set target dates to activate this KPI</x:v>
      </x:c>
      <x:c r="K11" s="31"/>
      <x:c r="L11" s="31"/>
    </x:row>
    <x:row r="12">
      <x:c r="A12" s="31" t="str">
        <x:v>In Progress</x:v>
      </x:c>
      <x:c r="B12" s="31" t="n">
        <x:f>COUNTIF('Master Feature Tracker'!$Q$4:$Q$253,A12)</x:f>
        <x:v>16</x:v>
      </x:c>
      <x:c r="C12" s="31" t="str">
        <x:v>Medium</x:v>
      </x:c>
      <x:c r="D12" s="31" t="n">
        <x:f>COUNTIF('Master Feature Tracker'!$P$4:$P$253,C12)</x:f>
        <x:v>3</x:v>
      </x:c>
      <x:c r="E12" s="31"/>
      <x:c r="F12" s="31" t="str">
        <x:v>Needs QA</x:v>
      </x:c>
      <x:c r="G12" s="31" t="n">
        <x:f>COUNTIF('Master Feature Tracker'!$S$4:$S$253,F12)</x:f>
        <x:v>16</x:v>
      </x:c>
      <x:c r="H12" s="31" t="str">
        <x:v>Testing</x:v>
      </x:c>
      <x:c r="I12" s="31" t="n">
        <x:f>COUNTIF('Master Feature Tracker'!$E$4:$E$253,H12)</x:f>
        <x:v>1</x:v>
      </x:c>
      <x:c r="J12" s="31" t="str"/>
      <x:c r="K12" s="31"/>
      <x:c r="L12" s="31"/>
    </x:row>
    <x:row r="13">
      <x:c r="A13" s="31" t="str">
        <x:v>Blocked</x:v>
      </x:c>
      <x:c r="B13" s="31" t="n">
        <x:f>COUNTIF('Master Feature Tracker'!$Q$4:$Q$253,A13)</x:f>
        <x:v>0</x:v>
      </x:c>
      <x:c r="C13" s="31" t="str">
        <x:v>Low</x:v>
      </x:c>
      <x:c r="D13" s="31" t="n">
        <x:f>COUNTIF('Master Feature Tracker'!$P$4:$P$253,C13)</x:f>
        <x:v>0</x:v>
      </x:c>
      <x:c r="E13" s="31"/>
      <x:c r="F13" s="31" t="str">
        <x:v>Pilot Ready</x:v>
      </x:c>
      <x:c r="G13" s="31" t="n">
        <x:f>COUNTIF('Master Feature Tracker'!$S$4:$S$253,F13)</x:f>
        <x:v>0</x:v>
      </x:c>
      <x:c r="H13" s="31" t="str">
        <x:v>Platform</x:v>
      </x:c>
      <x:c r="I13" s="31" t="n">
        <x:f>COUNTIF('Master Feature Tracker'!$E$4:$E$253,H13)</x:f>
        <x:v>1</x:v>
      </x:c>
      <x:c r="J13" s="31" t="str"/>
      <x:c r="K13" s="31"/>
      <x:c r="L13" s="31"/>
    </x:row>
    <x:row r="14">
      <x:c r="A14" s="31" t="str">
        <x:v>Ready for QA</x:v>
      </x:c>
      <x:c r="B14" s="31" t="n">
        <x:f>COUNTIF('Master Feature Tracker'!$Q$4:$Q$253,A14)</x:f>
        <x:v>0</x:v>
      </x:c>
      <x:c r="C14" s="31"/>
      <x:c r="D14" s="31"/>
      <x:c r="E14" s="31"/>
      <x:c r="F14" s="31" t="str">
        <x:v>Production Ready</x:v>
      </x:c>
      <x:c r="G14" s="31" t="n">
        <x:f>COUNTIF('Master Feature Tracker'!$S$4:$S$253,F14)</x:f>
        <x:v>0</x:v>
      </x:c>
      <x:c r="H14" s="31"/>
      <x:c r="I14" s="31"/>
      <x:c r="J14" s="31" t="str"/>
      <x:c r="K14" s="31"/>
      <x:c r="L14" s="31"/>
    </x:row>
    <x:row r="15">
      <x:c r="A15" s="31" t="str">
        <x:v>Done</x:v>
      </x:c>
      <x:c r="B15" s="31" t="n">
        <x:f>COUNTIF('Master Feature Tracker'!$Q$4:$Q$253,A15)</x:f>
        <x:v>0</x:v>
      </x:c>
      <x:c r="C15" s="31"/>
      <x:c r="D15" s="31"/>
      <x:c r="E15" s="31"/>
      <x:c r="F15" s="31"/>
      <x:c r="G15" s="31"/>
      <x:c r="H15" s="31"/>
      <x:c r="I15" s="31"/>
      <x:c r="J15" s="31"/>
      <x:c r="K15" s="31"/>
      <x:c r="L15" s="31"/>
    </x:row>
    <x:row r="16">
      <x:c r="A16" s="31" t="str">
        <x:v>Deferred</x:v>
      </x:c>
      <x:c r="B16" s="31" t="n">
        <x:f>COUNTIF('Master Feature Tracker'!$Q$4:$Q$253,A16)</x:f>
        <x:v>0</x:v>
      </x:c>
      <x:c r="C16" s="31"/>
      <x:c r="D16" s="31"/>
      <x:c r="E16" s="31"/>
      <x:c r="F16" s="31"/>
      <x:c r="G16" s="31"/>
      <x:c r="H16" s="31"/>
      <x:c r="I16" s="31"/>
      <x:c r="J16" s="31"/>
      <x:c r="K16" s="31"/>
      <x:c r="L16" s="31"/>
    </x:row>
    <x:row r="17">
      <x:c r="A17" s="31"/>
      <x:c r="B17" s="31"/>
      <x:c r="C17" s="31"/>
      <x:c r="D17" s="31"/>
      <x:c r="E17" s="31"/>
      <x:c r="F17" s="31"/>
      <x:c r="G17" s="31"/>
      <x:c r="H17" s="31"/>
      <x:c r="I17" s="31"/>
      <x:c r="J17" s="31"/>
      <x:c r="K17" s="31"/>
      <x:c r="L17" s="31"/>
    </x:row>
    <x:row r="18">
      <x:c r="A18" s="31"/>
      <x:c r="B18" s="31"/>
      <x:c r="C18" s="31"/>
      <x:c r="D18" s="31"/>
      <x:c r="E18" s="31"/>
      <x:c r="F18" s="31"/>
      <x:c r="G18" s="31"/>
      <x:c r="H18" s="31"/>
      <x:c r="I18" s="31"/>
      <x:c r="J18" s="31"/>
      <x:c r="K18" s="31"/>
      <x:c r="L18" s="31"/>
    </x:row>
    <x:row r="19">
      <x:c r="A19" s="37" t="str">
        <x:v>Update discipline: assign Owner, Target Date, Next Action and Release in Master Feature Tracker. Use Unknown / Needs Verification until observed in a safe runtime environment.</x:v>
      </x:c>
      <x:c r="B19" s="31"/>
      <x:c r="C19" s="31"/>
      <x:c r="D19" s="31"/>
      <x:c r="E19" s="31"/>
      <x:c r="F19" s="31"/>
      <x:c r="G19" s="31"/>
      <x:c r="H19" s="31"/>
      <x:c r="I19" s="31"/>
      <x:c r="J19" s="31"/>
      <x:c r="K19" s="31"/>
      <x:c r="L19" s="31"/>
    </x:row>
  </x:sheetData>
  <x:mergeCells>
    <x:mergeCell ref="A1:N1"/>
    <x:mergeCell ref="A3:N3"/>
    <x:mergeCell ref="A5:B5"/>
    <x:mergeCell ref="A6:B6"/>
    <x:mergeCell ref="C5:D5"/>
    <x:mergeCell ref="C6:D6"/>
    <x:mergeCell ref="E5:F5"/>
    <x:mergeCell ref="E6:F6"/>
    <x:mergeCell ref="G5:H5"/>
    <x:mergeCell ref="G6:H6"/>
    <x:mergeCell ref="I5:J5"/>
    <x:mergeCell ref="I6:J6"/>
    <x:mergeCell ref="K5:L5"/>
    <x:mergeCell ref="K6:L6"/>
    <x:mergeCell ref="A19:N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0" hidden="0" customWidth="1"/>
    <x:col min="3" max="3" width="24" hidden="0" customWidth="1"/>
    <x:col min="4" max="4" width="28" hidden="0" customWidth="1"/>
    <x:col min="5" max="5" width="17" hidden="0" customWidth="1"/>
    <x:col min="6" max="6" width="12" hidden="0" customWidth="1"/>
    <x:col min="7" max="7" width="14" hidden="0" customWidth="1"/>
    <x:col min="8" max="8" width="14" hidden="0" customWidth="1"/>
    <x:col min="9" max="9" width="25" hidden="0" customWidth="1"/>
    <x:col min="10" max="10" width="25" hidden="0" customWidth="1"/>
    <x:col min="11" max="11" width="18" hidden="0" customWidth="1"/>
    <x:col min="12" max="12" width="18" hidden="0" customWidth="1"/>
    <x:col min="13" max="13" width="24" hidden="0" customWidth="1"/>
    <x:col min="14" max="14" width="28" hidden="0" customWidth="1"/>
    <x:col min="15" max="15" width="15" hidden="0" customWidth="1"/>
    <x:col min="16" max="16" width="12" hidden="0" customWidth="1"/>
    <x:col min="17" max="17" width="15" hidden="0" customWidth="1"/>
    <x:col min="18" max="18" width="13" hidden="0" customWidth="1"/>
    <x:col min="19" max="19" width="20" hidden="0" customWidth="1"/>
    <x:col min="20" max="20" width="13" hidden="0" customWidth="1"/>
    <x:col min="21" max="21" width="13" hidden="0" customWidth="1"/>
    <x:col min="22" max="22" width="20" hidden="0" customWidth="1"/>
    <x:col min="23" max="23" width="12" hidden="0" customWidth="1"/>
    <x:col min="24" max="24" width="24" hidden="0" customWidth="1"/>
    <x:col min="25" max="25" width="27" hidden="0" customWidth="1"/>
    <x:col min="26" max="26" width="26" hidden="0" customWidth="1"/>
    <x:col min="27" max="27" width="28" hidden="0" customWidth="1"/>
    <x:col min="28" max="28" width="42" hidden="0" customWidth="1"/>
    <x:col min="29" max="29" width="28" hidden="0" customWidth="1"/>
  </x:cols>
  <x:sheetData>
    <x:row r="1" ht="30" customHeight="1">
      <x:c r="A1" s="30" t="str">
        <x:v>Master Feature Tracker — editable source of truth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  <x:c r="N1" s="31"/>
      <x:c r="O1" s="31"/>
      <x:c r="P1" s="31"/>
      <x:c r="Q1" s="31"/>
      <x:c r="R1" s="31"/>
      <x:c r="S1" s="31"/>
      <x:c r="T1" s="31"/>
      <x:c r="U1" s="31"/>
      <x:c r="V1" s="31"/>
      <x:c r="W1" s="31"/>
      <x:c r="X1" s="31"/>
      <x:c r="Y1" s="31"/>
      <x:c r="Z1" s="31"/>
      <x:c r="AA1" s="31"/>
      <x:c r="AB1" s="31"/>
      <x:c r="AC1" s="31"/>
    </x:row>
    <x:row r="2">
      <x:c r="A2" s="31"/>
      <x:c r="B2" s="31"/>
      <x:c r="C2" s="31"/>
      <x:c r="D2" s="31"/>
      <x:c r="E2" s="31"/>
      <x:c r="F2" s="31"/>
      <x:c r="G2" s="31"/>
      <x:c r="H2" s="31"/>
      <x:c r="I2" s="31"/>
      <x:c r="J2" s="31"/>
      <x:c r="K2" s="31"/>
      <x:c r="L2" s="31"/>
      <x:c r="M2" s="31"/>
      <x:c r="N2" s="31"/>
      <x:c r="O2" s="31"/>
      <x:c r="P2" s="31"/>
      <x:c r="Q2" s="31"/>
      <x:c r="R2" s="31"/>
      <x:c r="S2" s="31"/>
      <x:c r="T2" s="31"/>
      <x:c r="U2" s="31"/>
      <x:c r="V2" s="31"/>
      <x:c r="W2" s="31"/>
      <x:c r="X2" s="31"/>
      <x:c r="Y2" s="31"/>
      <x:c r="Z2" s="31"/>
      <x:c r="AA2" s="31"/>
      <x:c r="AB2" s="31"/>
      <x:c r="AC2" s="31"/>
    </x:row>
    <x:row r="3">
      <x:c r="A3" s="36" t="str">
        <x:v>ID</x:v>
      </x:c>
      <x:c r="B3" s="36" t="str">
        <x:v>Module</x:v>
      </x:c>
      <x:c r="C3" s="36" t="str">
        <x:v>Feature</x:v>
      </x:c>
      <x:c r="D3" s="36" t="str">
        <x:v>Sub-feature / Scope</x:v>
      </x:c>
      <x:c r="E3" s="36" t="str">
        <x:v>Layer</x:v>
      </x:c>
      <x:c r="F3" s="36" t="str">
        <x:v>UI</x:v>
      </x:c>
      <x:c r="G3" s="36" t="str">
        <x:v>Backend / API</x:v>
      </x:c>
      <x:c r="H3" s="36" t="str">
        <x:v>Database</x:v>
      </x:c>
      <x:c r="I3" s="36" t="str">
        <x:v>Business Rules</x:v>
      </x:c>
      <x:c r="J3" s="36" t="str">
        <x:v>Permissions / Security</x:v>
      </x:c>
      <x:c r="K3" s="36" t="str">
        <x:v>Integrations</x:v>
      </x:c>
      <x:c r="L3" s="36" t="str">
        <x:v>Testing</x:v>
      </x:c>
      <x:c r="M3" s="36" t="str">
        <x:v>Documentation</x:v>
      </x:c>
      <x:c r="N3" s="36" t="str">
        <x:v>Bugs / Dependencies</x:v>
      </x:c>
      <x:c r="O3" s="36" t="str">
        <x:v>Owner</x:v>
      </x:c>
      <x:c r="P3" s="36" t="str">
        <x:v>Priority</x:v>
      </x:c>
      <x:c r="Q3" s="36" t="str">
        <x:v>Status</x:v>
      </x:c>
      <x:c r="R3" s="36" t="str">
        <x:v>% Complete</x:v>
      </x:c>
      <x:c r="S3" s="36" t="str">
        <x:v>Production Readiness</x:v>
      </x:c>
      <x:c r="T3" s="36" t="str">
        <x:v>Start Date</x:v>
      </x:c>
      <x:c r="U3" s="36" t="str">
        <x:v>Target Date</x:v>
      </x:c>
      <x:c r="V3" s="36" t="str">
        <x:v>Release / Milestone</x:v>
      </x:c>
      <x:c r="W3" s="36" t="str">
        <x:v>Risk</x:v>
      </x:c>
      <x:c r="X3" s="36" t="str">
        <x:v>Blocker</x:v>
      </x:c>
      <x:c r="Y3" s="36" t="str">
        <x:v>Next Action</x:v>
      </x:c>
      <x:c r="Z3" s="36" t="str">
        <x:v>Technical Debt</x:v>
      </x:c>
      <x:c r="AA3" s="36" t="str">
        <x:v>Notes</x:v>
      </x:c>
      <x:c r="AB3" s="36" t="str">
        <x:v>Evidence / Source</x:v>
      </x:c>
      <x:c r="AC3" s="36" t="str">
        <x:v>Verification</x:v>
      </x:c>
    </x:row>
    <x:row r="4">
      <x:c r="A4" s="16" t="str">
        <x:v>AUTH-001</x:v>
      </x:c>
      <x:c r="B4" s="16" t="str">
        <x:v>Platform &amp; Access</x:v>
      </x:c>
      <x:c r="C4" s="16" t="str">
        <x:v>Authentication</x:v>
      </x:c>
      <x:c r="D4" s="16" t="str">
        <x:v>JWT login, bootstrap, token refresh</x:v>
      </x:c>
      <x:c r="E4" s="16" t="str">
        <x:v>Backend/API + UI</x:v>
      </x:c>
      <x:c r="F4" s="16" t="str">
        <x:v>Present</x:v>
      </x:c>
      <x:c r="G4" s="16" t="str">
        <x:v>Present</x:v>
      </x:c>
      <x:c r="H4" s="16" t="str">
        <x:v>MongoDB users</x:v>
      </x:c>
      <x:c r="I4" s="16" t="str">
        <x:v>Session bootstrap</x:v>
      </x:c>
      <x:c r="J4" s="16" t="str">
        <x:v>JWT + role/module gates</x:v>
      </x:c>
      <x:c r="K4" s="16" t="str">
        <x:v>Email</x:v>
      </x:c>
      <x:c r="L4" s="16" t="str">
        <x:v>Needs regression</x:v>
      </x:c>
      <x:c r="M4" s="16" t="str">
        <x:v>routing-and-auth.md</x:v>
      </x:c>
      <x:c r="N4" s="16" t="str">
        <x:v>Refresh queue source finding</x:v>
      </x:c>
      <x:c r="O4" s="16" t="str">
        <x:v>Unassigned</x:v>
      </x:c>
      <x:c r="P4" s="16" t="str">
        <x:v>Critical</x:v>
      </x:c>
      <x:c r="Q4" s="16" t="str">
        <x:v>In Progress</x:v>
      </x:c>
      <x:c r="R4" s="17" t="n">
        <x:v>0.65</x:v>
      </x:c>
      <x:c r="S4" s="16" t="str">
        <x:v>Needs QA</x:v>
      </x:c>
      <x:c r="T4" s="18"/>
      <x:c r="U4" s="18"/>
      <x:c r="V4" s="16" t="str">
        <x:v>Security hardening</x:v>
      </x:c>
      <x:c r="W4" s="16" t="str">
        <x:v>High</x:v>
      </x:c>
      <x:c r="X4" s="16" t="str">
        <x:v>Refresh-token concurrency</x:v>
      </x:c>
      <x:c r="Y4" s="16" t="str">
        <x:v>Reproduce/patch queue behavior</x:v>
      </x:c>
      <x:c r="Z4" s="16" t="str">
        <x:v>Token refresh race</x:v>
      </x:c>
      <x:c r="AA4" s="16" t="str">
        <x:v>Source audit finding; runtime not verified</x:v>
      </x:c>
      <x:c r="AB4" s="16" t="str">
        <x:v>CMS-React/docs/routing-and-auth.md; backend doc.md</x:v>
      </x:c>
      <x:c r="AC4" s="16" t="str">
        <x:v>Documented - Not Runtime Verified</x:v>
      </x:c>
    </x:row>
    <x:row r="5">
      <x:c r="A5" s="16" t="str">
        <x:v>COMP-001</x:v>
      </x:c>
      <x:c r="B5" s="16" t="str">
        <x:v>Company &amp; Tenant</x:v>
      </x:c>
      <x:c r="C5" s="16" t="str">
        <x:v>Company management</x:v>
      </x:c>
      <x:c r="D5" s="16" t="str">
        <x:v>Company profile and tenant context</x:v>
      </x:c>
      <x:c r="E5" s="16" t="str">
        <x:v>Full stack</x:v>
      </x:c>
      <x:c r="F5" s="16" t="str">
        <x:v>Present</x:v>
      </x:c>
      <x:c r="G5" s="16" t="str">
        <x:v>Present</x:v>
      </x:c>
      <x:c r="H5" s="16" t="str">
        <x:v>MongoDB Company</x:v>
      </x:c>
      <x:c r="I5" s="16" t="str">
        <x:v>Company-scoped data</x:v>
      </x:c>
      <x:c r="J5" s="16" t="str">
        <x:v>Tenant claims + server checks</x:v>
      </x:c>
      <x:c r="K5" s="16" t="str">
        <x:v>Public careers</x:v>
      </x:c>
      <x:c r="L5" s="16" t="str">
        <x:v>Needs E2E</x:v>
      </x:c>
      <x:c r="M5" s="16" t="str">
        <x:v>README.md</x:v>
      </x:c>
      <x:c r="N5" s="16" t="str">
        <x:v>Cross-tenant matrix pending</x:v>
      </x:c>
      <x:c r="O5" s="16" t="str">
        <x:v>Unassigned</x:v>
      </x:c>
      <x:c r="P5" s="16" t="str">
        <x:v>Critical</x:v>
      </x:c>
      <x:c r="Q5" s="16" t="str">
        <x:v>In Progress</x:v>
      </x:c>
      <x:c r="R5" s="17" t="n">
        <x:v>0.7</x:v>
      </x:c>
      <x:c r="S5" s="16" t="str">
        <x:v>Needs QA</x:v>
      </x:c>
      <x:c r="T5" s="18"/>
      <x:c r="U5" s="18"/>
      <x:c r="V5" s="16" t="str">
        <x:v>Tenant safety</x:v>
      </x:c>
      <x:c r="W5" s="16" t="str">
        <x:v>High</x:v>
      </x:c>
      <x:c r="X5" s="16" t="str">
        <x:v>Isolated tenant test unavailable</x:v>
      </x:c>
      <x:c r="Y5" s="16" t="str">
        <x:v>Run two-company IDOR matrix</x:v>
      </x:c>
      <x:c r="Z5" s="16" t="str">
        <x:v>Tenant enforcement proof gap</x:v>
      </x:c>
      <x:c r="AA5" s="16" t="str">
        <x:v>Do not mark production-ready until integration proven</x:v>
      </x:c>
      <x:c r="AB5" s="16" t="str">
        <x:v>backend README.md; doc.md</x:v>
      </x:c>
      <x:c r="AC5" s="16" t="str">
        <x:v>Documented - Not Runtime Verified</x:v>
      </x:c>
    </x:row>
    <x:row r="6">
      <x:c r="A6" s="16" t="str">
        <x:v>EMP-001</x:v>
      </x:c>
      <x:c r="B6" s="16" t="str">
        <x:v>Employees</x:v>
      </x:c>
      <x:c r="C6" s="16" t="str">
        <x:v>Employee lifecycle</x:v>
      </x:c>
      <x:c r="D6" s="16" t="str">
        <x:v>Create, profile, employment status</x:v>
      </x:c>
      <x:c r="E6" s="16" t="str">
        <x:v>Full stack</x:v>
      </x:c>
      <x:c r="F6" s="16" t="str">
        <x:v>Present</x:v>
      </x:c>
      <x:c r="G6" s="16" t="str">
        <x:v>Present</x:v>
      </x:c>
      <x:c r="H6" s="16" t="str">
        <x:v>MongoDB employee</x:v>
      </x:c>
      <x:c r="I6" s="16" t="str">
        <x:v>Employment state</x:v>
      </x:c>
      <x:c r="J6" s="16" t="str">
        <x:v>Employees permissions</x:v>
      </x:c>
      <x:c r="K6" s="16" t="str">
        <x:v>Email</x:v>
      </x:c>
      <x:c r="L6" s="16" t="str">
        <x:v>Needs E2E</x:v>
      </x:c>
      <x:c r="M6" s="16" t="str">
        <x:v>routing-and-auth.md</x:v>
      </x:c>
      <x:c r="N6" s="16" t="str">
        <x:v>Cross-company profile test pending</x:v>
      </x:c>
      <x:c r="O6" s="16" t="str">
        <x:v>Unassigned</x:v>
      </x:c>
      <x:c r="P6" s="16" t="str">
        <x:v>High</x:v>
      </x:c>
      <x:c r="Q6" s="16" t="str">
        <x:v>In Progress</x:v>
      </x:c>
      <x:c r="R6" s="17" t="n">
        <x:v>0.7</x:v>
      </x:c>
      <x:c r="S6" s="16" t="str">
        <x:v>Needs QA</x:v>
      </x:c>
      <x:c r="T6" s="18"/>
      <x:c r="U6" s="18"/>
      <x:c r="V6" s="16" t="str">
        <x:v>Core HR</x:v>
      </x:c>
      <x:c r="W6" s="16" t="str">
        <x:v>High</x:v>
      </x:c>
      <x:c r="X6" s="16" t="str">
        <x:v>Isolated test DB</x:v>
      </x:c>
      <x:c r="Y6" s="16" t="str">
        <x:v>Verify profile IDOR and status</x:v>
      </x:c>
      <x:c r="Z6" s="16" t="str">
        <x:v>E2E coverage gap</x:v>
      </x:c>
      <x:c r="AA6" s="16" t="str">
        <x:v>Feature presence confirmed; behavior not fully runtime-tested</x:v>
      </x:c>
      <x:c r="AB6" s="16" t="str">
        <x:v>CMS-React/docs/routing-and-auth.md; backend doc.md</x:v>
      </x:c>
      <x:c r="AC6" s="16" t="str">
        <x:v>Documented - Not Runtime Verified</x:v>
      </x:c>
    </x:row>
    <x:row r="7">
      <x:c r="A7" s="16" t="str">
        <x:v>LEAVE-001</x:v>
      </x:c>
      <x:c r="B7" s="16" t="str">
        <x:v>Leave</x:v>
      </x:c>
      <x:c r="C7" s="16" t="str">
        <x:v>Leave management</x:v>
      </x:c>
      <x:c r="D7" s="16" t="str">
        <x:v>Request, approval, balance</x:v>
      </x:c>
      <x:c r="E7" s="16" t="str">
        <x:v>Full stack</x:v>
      </x:c>
      <x:c r="F7" s="16" t="str">
        <x:v>Present</x:v>
      </x:c>
      <x:c r="G7" s="16" t="str">
        <x:v>Present</x:v>
      </x:c>
      <x:c r="H7" s="16" t="str">
        <x:v>MongoDB leave</x:v>
      </x:c>
      <x:c r="I7" s="16" t="str">
        <x:v>Approval/reconciliation</x:v>
      </x:c>
      <x:c r="J7" s="16" t="str">
        <x:v>ModulePermissionAttribute</x:v>
      </x:c>
      <x:c r="K7" s="16" t="str">
        <x:v>Notifications</x:v>
      </x:c>
      <x:c r="L7" s="16" t="str">
        <x:v>Needs integration</x:v>
      </x:c>
      <x:c r="M7" s="16" t="str">
        <x:v>leave-attendance-payroll flow</x:v>
      </x:c>
      <x:c r="N7" s="16" t="str">
        <x:v>Multi-document atomicity</x:v>
      </x:c>
      <x:c r="O7" s="16" t="str">
        <x:v>Unassigned</x:v>
      </x:c>
      <x:c r="P7" s="16" t="str">
        <x:v>Critical</x:v>
      </x:c>
      <x:c r="Q7" s="16" t="str">
        <x:v>In Progress</x:v>
      </x:c>
      <x:c r="R7" s="17" t="n">
        <x:v>0.75</x:v>
      </x:c>
      <x:c r="S7" s="16" t="str">
        <x:v>Needs QA</x:v>
      </x:c>
      <x:c r="T7" s="18"/>
      <x:c r="U7" s="18"/>
      <x:c r="V7" s="16" t="str">
        <x:v>HR core</x:v>
      </x:c>
      <x:c r="W7" s="16" t="str">
        <x:v>High</x:v>
      </x:c>
      <x:c r="X7" s="16" t="str">
        <x:v>No transaction/saga proof</x:v>
      </x:c>
      <x:c r="Y7" s="16" t="str">
        <x:v>Test partial failure and concurrency</x:v>
      </x:c>
      <x:c r="Z7" s="16" t="str">
        <x:v>Multi-document workflow</x:v>
      </x:c>
      <x:c r="AA7" s="16" t="str">
        <x:v>Approved leave creates source-linked attendance per docs</x:v>
      </x:c>
      <x:c r="AB7" s="16" t="str">
        <x:v>memory-backed docs: leave/attendance/payroll</x:v>
      </x:c>
      <x:c r="AC7" s="16" t="str">
        <x:v>Documented - Not Runtime Verified</x:v>
      </x:c>
    </x:row>
    <x:row r="8">
      <x:c r="A8" s="16" t="str">
        <x:v>ATT-001</x:v>
      </x:c>
      <x:c r="B8" s="16" t="str">
        <x:v>Attendance</x:v>
      </x:c>
      <x:c r="C8" s="16" t="str">
        <x:v>Attendance calendar</x:v>
      </x:c>
      <x:c r="D8" s="16" t="str">
        <x:v>Status, manual actions, source-owned records</x:v>
      </x:c>
      <x:c r="E8" s="16" t="str">
        <x:v>Full stack</x:v>
      </x:c>
      <x:c r="F8" s="16" t="str">
        <x:v>Present</x:v>
      </x:c>
      <x:c r="G8" s="16" t="str">
        <x:v>Present</x:v>
      </x:c>
      <x:c r="H8" s="16" t="str">
        <x:v>MongoDB attendance</x:v>
      </x:c>
      <x:c r="I8" s="16" t="str">
        <x:v>Source ownership and locked periods</x:v>
      </x:c>
      <x:c r="J8" s="16" t="str">
        <x:v>Attendance permissions</x:v>
      </x:c>
      <x:c r="K8" s="16" t="str">
        <x:v>Calendar</x:v>
      </x:c>
      <x:c r="L8" s="16" t="str">
        <x:v>Needs integration</x:v>
      </x:c>
      <x:c r="M8" s="16" t="str">
        <x:v>leave-attendance-payroll flow</x:v>
      </x:c>
      <x:c r="N8" s="16" t="str">
        <x:v>Lock/correction race test pending</x:v>
      </x:c>
      <x:c r="O8" s="16" t="str">
        <x:v>Unassigned</x:v>
      </x:c>
      <x:c r="P8" s="16" t="str">
        <x:v>Critical</x:v>
      </x:c>
      <x:c r="Q8" s="16" t="str">
        <x:v>In Progress</x:v>
      </x:c>
      <x:c r="R8" s="17" t="n">
        <x:v>0.75</x:v>
      </x:c>
      <x:c r="S8" s="16" t="str">
        <x:v>Needs QA</x:v>
      </x:c>
      <x:c r="T8" s="18"/>
      <x:c r="U8" s="18"/>
      <x:c r="V8" s="16" t="str">
        <x:v>HR core</x:v>
      </x:c>
      <x:c r="W8" s="16" t="str">
        <x:v>High</x:v>
      </x:c>
      <x:c r="X8" s="16" t="str">
        <x:v>Isolated test DB</x:v>
      </x:c>
      <x:c r="Y8" s="16" t="str">
        <x:v>Run locked attendance regression</x:v>
      </x:c>
      <x:c r="Z8" s="16" t="str">
        <x:v>Reopen/relock audit</x:v>
      </x:c>
      <x:c r="AA8" s="16" t="str">
        <x:v>Source-owned WFH/leave rows require dedicated correction</x:v>
      </x:c>
      <x:c r="AB8" s="16" t="str">
        <x:v>backend services/controllers; memory summary</x:v>
      </x:c>
      <x:c r="AC8" s="16" t="str">
        <x:v>Verified - Source</x:v>
      </x:c>
    </x:row>
    <x:row r="9">
      <x:c r="A9" s="16" t="str">
        <x:v>ATT-002</x:v>
      </x:c>
      <x:c r="B9" s="16" t="str">
        <x:v>Attendance</x:v>
      </x:c>
      <x:c r="C9" s="16" t="str">
        <x:v>Working calendar</x:v>
      </x:c>
      <x:c r="D9" s="16" t="str">
        <x:v>Company schedule, weekly off, holidays</x:v>
      </x:c>
      <x:c r="E9" s="16" t="str">
        <x:v>Backend/API + UI</x:v>
      </x:c>
      <x:c r="F9" s="16" t="str">
        <x:v>Present</x:v>
      </x:c>
      <x:c r="G9" s="16" t="str">
        <x:v>Present</x:v>
      </x:c>
      <x:c r="H9" s="16" t="str">
        <x:v>MongoDB settings</x:v>
      </x:c>
      <x:c r="I9" s="16" t="str">
        <x:v>Effective office schedule</x:v>
      </x:c>
      <x:c r="J9" s="16" t="str">
        <x:v>Company scoped</x:v>
      </x:c>
      <x:c r="K9" s="16" t="str">
        <x:v>None</x:v>
      </x:c>
      <x:c r="L9" s="16" t="str">
        <x:v>Needs integration</x:v>
      </x:c>
      <x:c r="M9" s="16" t="str">
        <x:v>README.md</x:v>
      </x:c>
      <x:c r="N9" s="16" t="str">
        <x:v>Calendar edge-case verification</x:v>
      </x:c>
      <x:c r="O9" s="16" t="str">
        <x:v>Unassigned</x:v>
      </x:c>
      <x:c r="P9" s="16" t="str">
        <x:v>High</x:v>
      </x:c>
      <x:c r="Q9" s="16" t="str">
        <x:v>In Progress</x:v>
      </x:c>
      <x:c r="R9" s="17" t="n">
        <x:v>0.65</x:v>
      </x:c>
      <x:c r="S9" s="16" t="str">
        <x:v>Needs QA</x:v>
      </x:c>
      <x:c r="T9" s="18"/>
      <x:c r="U9" s="18"/>
      <x:c r="V9" s="16" t="str">
        <x:v>HR core</x:v>
      </x:c>
      <x:c r="W9" s="16" t="str">
        <x:v>Medium</x:v>
      </x:c>
      <x:c r="X9" s="16" t="str">
        <x:v>Test calendar cases</x:v>
      </x:c>
      <x:c r="Y9" s="16" t="str">
        <x:v>Test date/timezone policy</x:v>
      </x:c>
      <x:c r="Z9" s="16" t="str">
        <x:v>Date handling coverage</x:v>
      </x:c>
      <x:c r="AA9" s="16" t="str">
        <x:v>Company calendar services are present</x:v>
      </x:c>
      <x:c r="AB9" s="16" t="str">
        <x:v>CompanyWorkingCalendarService.cs</x:v>
      </x:c>
      <x:c r="AC9" s="16" t="str">
        <x:v>Verified - Source</x:v>
      </x:c>
    </x:row>
    <x:row r="10">
      <x:c r="A10" s="16" t="str">
        <x:v>WFH-001</x:v>
      </x:c>
      <x:c r="B10" s="16" t="str">
        <x:v>Work From Home</x:v>
      </x:c>
      <x:c r="C10" s="16" t="str">
        <x:v>WFH requests</x:v>
      </x:c>
      <x:c r="D10" s="16" t="str">
        <x:v>Approval and attendance linkage</x:v>
      </x:c>
      <x:c r="E10" s="16" t="str">
        <x:v>Full stack</x:v>
      </x:c>
      <x:c r="F10" s="16" t="str">
        <x:v>Present</x:v>
      </x:c>
      <x:c r="G10" s="16" t="str">
        <x:v>Present</x:v>
      </x:c>
      <x:c r="H10" s="16" t="str">
        <x:v>MongoDB WFH</x:v>
      </x:c>
      <x:c r="I10" s="16" t="str">
        <x:v>Source-owned attendance</x:v>
      </x:c>
      <x:c r="J10" s="16" t="str">
        <x:v>Dedicated correction authorization</x:v>
      </x:c>
      <x:c r="K10" s="16" t="str">
        <x:v>None</x:v>
      </x:c>
      <x:c r="L10" s="16" t="str">
        <x:v>Needs E2E</x:v>
      </x:c>
      <x:c r="M10" s="16" t="str">
        <x:v>modules.md</x:v>
      </x:c>
      <x:c r="N10" s="16" t="str">
        <x:v>Generic edit protection needs regression</x:v>
      </x:c>
      <x:c r="O10" s="16" t="str">
        <x:v>Unassigned</x:v>
      </x:c>
      <x:c r="P10" s="16" t="str">
        <x:v>High</x:v>
      </x:c>
      <x:c r="Q10" s="16" t="str">
        <x:v>In Progress</x:v>
      </x:c>
      <x:c r="R10" s="17" t="n">
        <x:v>0.7</x:v>
      </x:c>
      <x:c r="S10" s="16" t="str">
        <x:v>Needs QA</x:v>
      </x:c>
      <x:c r="T10" s="18"/>
      <x:c r="U10" s="18"/>
      <x:c r="V10" s="16" t="str">
        <x:v>HR core</x:v>
      </x:c>
      <x:c r="W10" s="16" t="str">
        <x:v>High</x:v>
      </x:c>
      <x:c r="X10" s="16" t="str">
        <x:v>Runtime test pending</x:v>
      </x:c>
      <x:c r="Y10" s="16" t="str">
        <x:v>Verify generic edit rejects source-owned row</x:v>
      </x:c>
      <x:c r="Z10" s="16" t="str">
        <x:v>Correction workflow coverage</x:v>
      </x:c>
      <x:c r="AA10" s="16" t="str">
        <x:v>Server-side source ownership documented</x:v>
      </x:c>
      <x:c r="AB10" s="16" t="str">
        <x:v>WorkFromHomeController.cs; memory summary</x:v>
      </x:c>
      <x:c r="AC10" s="16" t="str">
        <x:v>Verified - Source</x:v>
      </x:c>
    </x:row>
    <x:row r="11">
      <x:c r="A11" s="16" t="str">
        <x:v>PAY-001</x:v>
      </x:c>
      <x:c r="B11" s="16" t="str">
        <x:v>Payroll</x:v>
      </x:c>
      <x:c r="C11" s="16" t="str">
        <x:v>Payroll processing</x:v>
      </x:c>
      <x:c r="D11" s="16" t="str">
        <x:v>Periods, processing, payslips</x:v>
      </x:c>
      <x:c r="E11" s="16" t="str">
        <x:v>Full stack</x:v>
      </x:c>
      <x:c r="F11" s="16" t="str">
        <x:v>Present</x:v>
      </x:c>
      <x:c r="G11" s="16" t="str">
        <x:v>Present</x:v>
      </x:c>
      <x:c r="H11" s="16" t="str">
        <x:v>MongoDB payroll</x:v>
      </x:c>
      <x:c r="I11" s="16" t="str">
        <x:v>Locked attendance dependency</x:v>
      </x:c>
      <x:c r="J11" s="16" t="str">
        <x:v>Payroll permissions</x:v>
      </x:c>
      <x:c r="K11" s="16" t="str">
        <x:v>PDF</x:v>
      </x:c>
      <x:c r="L11" s="16" t="str">
        <x:v>Needs concurrency</x:v>
      </x:c>
      <x:c r="M11" s="16" t="str">
        <x:v>README.md</x:v>
      </x:c>
      <x:c r="N11" s="16" t="str">
        <x:v>Generation/process race pending</x:v>
      </x:c>
      <x:c r="O11" s="16" t="str">
        <x:v>Unassigned</x:v>
      </x:c>
      <x:c r="P11" s="16" t="str">
        <x:v>Critical</x:v>
      </x:c>
      <x:c r="Q11" s="16" t="str">
        <x:v>In Progress</x:v>
      </x:c>
      <x:c r="R11" s="17" t="n">
        <x:v>0.7</x:v>
      </x:c>
      <x:c r="S11" s="16" t="str">
        <x:v>Needs QA</x:v>
      </x:c>
      <x:c r="T11" s="18"/>
      <x:c r="U11" s="18"/>
      <x:c r="V11" s="16" t="str">
        <x:v>Payroll hardening</x:v>
      </x:c>
      <x:c r="W11" s="16" t="str">
        <x:v>Critical</x:v>
      </x:c>
      <x:c r="X11" s="16" t="str">
        <x:v>Isolated test DB</x:v>
      </x:c>
      <x:c r="Y11" s="16" t="str">
        <x:v>Run concurrent generation/edit test</x:v>
      </x:c>
      <x:c r="Z11" s="16" t="str">
        <x:v>Revision/audit design</x:v>
      </x:c>
      <x:c r="AA11" s="16" t="str">
        <x:v>Production readiness blocked by concurrency validation</x:v>
      </x:c>
      <x:c r="AB11" s="16" t="str">
        <x:v>PayRollController.cs; doc.md</x:v>
      </x:c>
      <x:c r="AC11" s="16" t="str">
        <x:v>Documented - Not Runtime Verified</x:v>
      </x:c>
    </x:row>
    <x:row r="12">
      <x:c r="A12" s="16" t="str">
        <x:v>PAY-002</x:v>
      </x:c>
      <x:c r="B12" s="16" t="str">
        <x:v>Payroll</x:v>
      </x:c>
      <x:c r="C12" s="16" t="str">
        <x:v>Payroll settings</x:v>
      </x:c>
      <x:c r="D12" s="16" t="str">
        <x:v>Divisor policy and salary setup</x:v>
      </x:c>
      <x:c r="E12" s="16" t="str">
        <x:v>Full stack</x:v>
      </x:c>
      <x:c r="F12" s="16" t="str">
        <x:v>Present</x:v>
      </x:c>
      <x:c r="G12" s="16" t="str">
        <x:v>Present</x:v>
      </x:c>
      <x:c r="H12" s="16" t="str">
        <x:v>MongoDB settings</x:v>
      </x:c>
      <x:c r="I12" s="16" t="str">
        <x:v>Period rules</x:v>
      </x:c>
      <x:c r="J12" s="16" t="str">
        <x:v>PayrollSettings permission</x:v>
      </x:c>
      <x:c r="K12" s="16" t="str">
        <x:v>None</x:v>
      </x:c>
      <x:c r="L12" s="16" t="str">
        <x:v>Needs QA</x:v>
      </x:c>
      <x:c r="M12" s="16" t="str">
        <x:v>routing-and-auth.md</x:v>
      </x:c>
      <x:c r="N12" s="16" t="str">
        <x:v>Config E2E pending</x:v>
      </x:c>
      <x:c r="O12" s="16" t="str">
        <x:v>Unassigned</x:v>
      </x:c>
      <x:c r="P12" s="16" t="str">
        <x:v>High</x:v>
      </x:c>
      <x:c r="Q12" s="16" t="str">
        <x:v>In Progress</x:v>
      </x:c>
      <x:c r="R12" s="17" t="n">
        <x:v>0.65</x:v>
      </x:c>
      <x:c r="S12" s="16" t="str">
        <x:v>Needs QA</x:v>
      </x:c>
      <x:c r="T12" s="18"/>
      <x:c r="U12" s="18"/>
      <x:c r="V12" s="16" t="str">
        <x:v>Payroll hardening</x:v>
      </x:c>
      <x:c r="W12" s="16" t="str">
        <x:v>Medium</x:v>
      </x:c>
      <x:c r="X12" s="16" t="str">
        <x:v>QA scenario pending</x:v>
      </x:c>
      <x:c r="Y12" s="16" t="str">
        <x:v>Validate policy changes against payroll</x:v>
      </x:c>
      <x:c r="Z12" s="16" t="str">
        <x:v>Settings versioning</x:v>
      </x:c>
      <x:c r="AA12" s="16" t="str">
        <x:v>Controllers/services confirmed in source</x:v>
      </x:c>
      <x:c r="AB12" s="16" t="str">
        <x:v>PayrollDivisorPolicyController.cs; SalaryController.cs</x:v>
      </x:c>
      <x:c r="AC12" s="16" t="str">
        <x:v>Verified - Source</x:v>
      </x:c>
    </x:row>
    <x:row r="13">
      <x:c r="A13" s="16" t="str">
        <x:v>REC-001</x:v>
      </x:c>
      <x:c r="B13" s="16" t="str">
        <x:v>Recruitment</x:v>
      </x:c>
      <x:c r="C13" s="16" t="str">
        <x:v>Job vacancy</x:v>
      </x:c>
      <x:c r="D13" s="16" t="str">
        <x:v>Jobs and candidate pipeline</x:v>
      </x:c>
      <x:c r="E13" s="16" t="str">
        <x:v>Full stack</x:v>
      </x:c>
      <x:c r="F13" s="16" t="str">
        <x:v>Present</x:v>
      </x:c>
      <x:c r="G13" s="16" t="str">
        <x:v>Present</x:v>
      </x:c>
      <x:c r="H13" s="16" t="str">
        <x:v>MongoDB jobs/applicants</x:v>
      </x:c>
      <x:c r="I13" s="16" t="str">
        <x:v>Pipeline transitions</x:v>
      </x:c>
      <x:c r="J13" s="16" t="str">
        <x:v>Jobs.View gap source finding</x:v>
      </x:c>
      <x:c r="K13" s="16" t="str">
        <x:v>Email, resume upload</x:v>
      </x:c>
      <x:c r="L13" s="16" t="str">
        <x:v>Needs security test</x:v>
      </x:c>
      <x:c r="M13" s="16" t="str">
        <x:v>recruitment audit</x:v>
      </x:c>
      <x:c r="N13" s="16" t="str">
        <x:v>Unenforced transition matrix</x:v>
      </x:c>
      <x:c r="O13" s="16" t="str">
        <x:v>Unassigned</x:v>
      </x:c>
      <x:c r="P13" s="16" t="str">
        <x:v>High</x:v>
      </x:c>
      <x:c r="Q13" s="16" t="str">
        <x:v>In Progress</x:v>
      </x:c>
      <x:c r="R13" s="17" t="n">
        <x:v>0.6</x:v>
      </x:c>
      <x:c r="S13" s="16" t="str">
        <x:v>Needs QA</x:v>
      </x:c>
      <x:c r="T13" s="18"/>
      <x:c r="U13" s="18"/>
      <x:c r="V13" s="16" t="str">
        <x:v>Recruitment controls</x:v>
      </x:c>
      <x:c r="W13" s="16" t="str">
        <x:v>High</x:v>
      </x:c>
      <x:c r="X13" s="16" t="str">
        <x:v>Authorization and workflow matrix</x:v>
      </x:c>
      <x:c r="Y13" s="16" t="str">
        <x:v>Protect read endpoint; define transitions</x:v>
      </x:c>
      <x:c r="Z13" s="16" t="str">
        <x:v>Pipeline governance</x:v>
      </x:c>
      <x:c r="AA13" s="16" t="str">
        <x:v>Source audit finding; not runtime confirmed</x:v>
      </x:c>
      <x:c r="AB13" s="16" t="str">
        <x:v>JobVacancyController.cs; memory recruitment audit</x:v>
      </x:c>
      <x:c r="AC13" s="16" t="str">
        <x:v>Documented - Not Runtime Verified</x:v>
      </x:c>
    </x:row>
    <x:row r="14">
      <x:c r="A14" s="16" t="str">
        <x:v>REC-002</x:v>
      </x:c>
      <x:c r="B14" s="16" t="str">
        <x:v>Recruitment</x:v>
      </x:c>
      <x:c r="C14" s="16" t="str">
        <x:v>Public application</x:v>
      </x:c>
      <x:c r="D14" s="16" t="str">
        <x:v>Apply job and upload resume</x:v>
      </x:c>
      <x:c r="E14" s="16" t="str">
        <x:v>Full stack</x:v>
      </x:c>
      <x:c r="F14" s="16" t="str">
        <x:v>Present</x:v>
      </x:c>
      <x:c r="G14" s="16" t="str">
        <x:v>Present</x:v>
      </x:c>
      <x:c r="H14" s="16" t="str">
        <x:v>MongoDB applicant/resume</x:v>
      </x:c>
      <x:c r="I14" s="16" t="str">
        <x:v>Anonymous submission</x:v>
      </x:c>
      <x:c r="J14" s="16" t="str">
        <x:v>Upload abuse/tenant testing</x:v>
      </x:c>
      <x:c r="K14" s="16" t="str">
        <x:v>Email</x:v>
      </x:c>
      <x:c r="L14" s="16" t="str">
        <x:v>Needs security test</x:v>
      </x:c>
      <x:c r="M14" s="16" t="str">
        <x:v>README.md</x:v>
      </x:c>
      <x:c r="N14" s="16" t="str">
        <x:v>Public cId matrix pending</x:v>
      </x:c>
      <x:c r="O14" s="16" t="str">
        <x:v>Unassigned</x:v>
      </x:c>
      <x:c r="P14" s="16" t="str">
        <x:v>High</x:v>
      </x:c>
      <x:c r="Q14" s="16" t="str">
        <x:v>In Progress</x:v>
      </x:c>
      <x:c r="R14" s="17" t="n">
        <x:v>0.55</x:v>
      </x:c>
      <x:c r="S14" s="16" t="str">
        <x:v>Needs QA</x:v>
      </x:c>
      <x:c r="T14" s="18"/>
      <x:c r="U14" s="18"/>
      <x:c r="V14" s="16" t="str">
        <x:v>Recruitment controls</x:v>
      </x:c>
      <x:c r="W14" s="16" t="str">
        <x:v>High</x:v>
      </x:c>
      <x:c r="X14" s="16" t="str">
        <x:v>Isolated test environment</x:v>
      </x:c>
      <x:c r="Y14" s="16" t="str">
        <x:v>Run public-tenant and upload tests</x:v>
      </x:c>
      <x:c r="Z14" s="16" t="str">
        <x:v>Rate limit / malware scan TBD</x:v>
      </x:c>
      <x:c r="AA14" s="16" t="str">
        <x:v>Endpoints exist; exact protection needs verification</x:v>
      </x:c>
      <x:c r="AB14" s="16" t="str">
        <x:v>ApplicantsController.cs; doc.md</x:v>
      </x:c>
      <x:c r="AC14" s="16" t="str">
        <x:v>Documented - Not Runtime Verified</x:v>
      </x:c>
    </x:row>
    <x:row r="15">
      <x:c r="A15" s="16" t="str">
        <x:v>CAREER-001</x:v>
      </x:c>
      <x:c r="B15" s="16" t="str">
        <x:v>Public Careers</x:v>
      </x:c>
      <x:c r="C15" s="16" t="str">
        <x:v>Career portal</x:v>
      </x:c>
      <x:c r="D15" s="16" t="str">
        <x:v>Company code, jobs, branding</x:v>
      </x:c>
      <x:c r="E15" s="16" t="str">
        <x:v>Full stack</x:v>
      </x:c>
      <x:c r="F15" s="16" t="str">
        <x:v>Present</x:v>
      </x:c>
      <x:c r="G15" s="16" t="str">
        <x:v>Present</x:v>
      </x:c>
      <x:c r="H15" s="16" t="str">
        <x:v>MongoDB company/career profile</x:v>
      </x:c>
      <x:c r="I15" s="16" t="str">
        <x:v>Publish and active checks</x:v>
      </x:c>
      <x:c r="J15" s="16" t="str">
        <x:v>Anonymous public guards</x:v>
      </x:c>
      <x:c r="K15" s="16" t="str">
        <x:v>Public API</x:v>
      </x:c>
      <x:c r="L15" s="16" t="str">
        <x:v>Needs browser/API</x:v>
      </x:c>
      <x:c r="M15" s="16" t="str">
        <x:v>README.md</x:v>
      </x:c>
      <x:c r="N15" s="16" t="str">
        <x:v>Profile publish state E2E pending</x:v>
      </x:c>
      <x:c r="O15" s="16" t="str">
        <x:v>Unassigned</x:v>
      </x:c>
      <x:c r="P15" s="16" t="str">
        <x:v>Medium</x:v>
      </x:c>
      <x:c r="Q15" s="16" t="str">
        <x:v>In Progress</x:v>
      </x:c>
      <x:c r="R15" s="17" t="n">
        <x:v>0.7</x:v>
      </x:c>
      <x:c r="S15" s="16" t="str">
        <x:v>Needs QA</x:v>
      </x:c>
      <x:c r="T15" s="18"/>
      <x:c r="U15" s="18"/>
      <x:c r="V15" s="16" t="str">
        <x:v>Public careers</x:v>
      </x:c>
      <x:c r="W15" s="16" t="str">
        <x:v>Medium</x:v>
      </x:c>
      <x:c r="X15" s="16" t="str">
        <x:v>Runtime public flow test</x:v>
      </x:c>
      <x:c r="Y15" s="16" t="str">
        <x:v>Verify published/disabled company/job matrix</x:v>
      </x:c>
      <x:c r="Z15" s="16" t="str">
        <x:v>Public content governance</x:v>
      </x:c>
      <x:c r="AA15" s="16" t="str">
        <x:v>CareerPortalEnabled and publish guards documented</x:v>
      </x:c>
      <x:c r="AB15" s="16" t="str">
        <x:v>PublicCareerController.cs; README.md</x:v>
      </x:c>
      <x:c r="AC15" s="16" t="str">
        <x:v>Documented - Not Runtime Verified</x:v>
      </x:c>
    </x:row>
    <x:row r="16">
      <x:c r="A16" s="16" t="str">
        <x:v>OFF-001</x:v>
      </x:c>
      <x:c r="B16" s="16" t="str">
        <x:v>Offboarding</x:v>
      </x:c>
      <x:c r="C16" s="16" t="str">
        <x:v>Exit lifecycle</x:v>
      </x:c>
      <x:c r="D16" s="16" t="str">
        <x:v>Resignation, HR/manager case management</x:v>
      </x:c>
      <x:c r="E16" s="16" t="str">
        <x:v>Full stack</x:v>
      </x:c>
      <x:c r="F16" s="16" t="str">
        <x:v>Present</x:v>
      </x:c>
      <x:c r="G16" s="16" t="str">
        <x:v>Present</x:v>
      </x:c>
      <x:c r="H16" s="16" t="str">
        <x:v>MongoDB EmployeeExit</x:v>
      </x:c>
      <x:c r="I16" s="16" t="str">
        <x:v>State machine and clearances</x:v>
      </x:c>
      <x:c r="J16" s="16" t="str">
        <x:v>Company isolation / role-aware actions</x:v>
      </x:c>
      <x:c r="K16" s="16" t="str">
        <x:v>Former employee portal</x:v>
      </x:c>
      <x:c r="L16" s="16" t="str">
        <x:v>Needs regression</x:v>
      </x:c>
      <x:c r="M16" s="16" t="str">
        <x:v>offboarding-ui-doc.md</x:v>
      </x:c>
      <x:c r="N16" s="16" t="str">
        <x:v>Frontend update explicitly needed for new status</x:v>
      </x:c>
      <x:c r="O16" s="16" t="str">
        <x:v>Unassigned</x:v>
      </x:c>
      <x:c r="P16" s="16" t="str">
        <x:v>High</x:v>
      </x:c>
      <x:c r="Q16" s="16" t="str">
        <x:v>In Progress</x:v>
      </x:c>
      <x:c r="R16" s="17" t="n">
        <x:v>0.75</x:v>
      </x:c>
      <x:c r="S16" s="16" t="str">
        <x:v>Needs QA</x:v>
      </x:c>
      <x:c r="T16" s="18"/>
      <x:c r="U16" s="18"/>
      <x:c r="V16" s="16" t="str">
        <x:v>Offboarding release</x:v>
      </x:c>
      <x:c r="W16" s="16" t="str">
        <x:v>High</x:v>
      </x:c>
      <x:c r="X16" s="16" t="str">
        <x:v>Wire new status + endpoint</x:v>
      </x:c>
      <x:c r="Y16" s="16" t="str">
        <x:v>Verify AwaitingEmployeeNoticeOffer UI/API</x:v>
      </x:c>
      <x:c r="Z16" s="16" t="str">
        <x:v>Status wiring</x:v>
      </x:c>
      <x:c r="AA16" s="16" t="str">
        <x:v>11 backend fixes documented; UI follow-up noted</x:v>
      </x:c>
      <x:c r="AB16" s="16" t="str">
        <x:v>README_OFFBOARDING_FIXES.md; offboarding-ui-doc.md</x:v>
      </x:c>
      <x:c r="AC16" s="16" t="str">
        <x:v>Documented - Not Runtime Verified</x:v>
      </x:c>
    </x:row>
    <x:row r="17">
      <x:c r="A17" s="16" t="str">
        <x:v>OFF-002</x:v>
      </x:c>
      <x:c r="B17" s="16" t="str">
        <x:v>Offboarding</x:v>
      </x:c>
      <x:c r="C17" s="16" t="str">
        <x:v>Former employee portal</x:v>
      </x:c>
      <x:c r="D17" s="16" t="str">
        <x:v>Secure documents and requests</x:v>
      </x:c>
      <x:c r="E17" s="16" t="str">
        <x:v>Full stack</x:v>
      </x:c>
      <x:c r="F17" s="16" t="str">
        <x:v>Present</x:v>
      </x:c>
      <x:c r="G17" s="16" t="str">
        <x:v>Present</x:v>
      </x:c>
      <x:c r="H17" s="16" t="str">
        <x:v>MongoDB portal/request</x:v>
      </x:c>
      <x:c r="I17" s="16" t="str">
        <x:v>Post-exit access rules</x:v>
      </x:c>
      <x:c r="J17" s="16" t="str">
        <x:v>Scoped secure access</x:v>
      </x:c>
      <x:c r="K17" s="16" t="str">
        <x:v>Email</x:v>
      </x:c>
      <x:c r="L17" s="16" t="str">
        <x:v>Needs security test</x:v>
      </x:c>
      <x:c r="M17" s="16" t="str">
        <x:v>offboarding-ui-doc.md</x:v>
      </x:c>
      <x:c r="N17" s="16" t="str">
        <x:v>Invite/access expiry runtime test</x:v>
      </x:c>
      <x:c r="O17" s="16" t="str">
        <x:v>Unassigned</x:v>
      </x:c>
      <x:c r="P17" s="16" t="str">
        <x:v>High</x:v>
      </x:c>
      <x:c r="Q17" s="16" t="str">
        <x:v>In Progress</x:v>
      </x:c>
      <x:c r="R17" s="17" t="n">
        <x:v>0.65</x:v>
      </x:c>
      <x:c r="S17" s="16" t="str">
        <x:v>Needs QA</x:v>
      </x:c>
      <x:c r="T17" s="18"/>
      <x:c r="U17" s="18"/>
      <x:c r="V17" s="16" t="str">
        <x:v>Offboarding release</x:v>
      </x:c>
      <x:c r="W17" s="16" t="str">
        <x:v>High</x:v>
      </x:c>
      <x:c r="X17" s="16" t="str">
        <x:v>Security test environment</x:v>
      </x:c>
      <x:c r="Y17" s="16" t="str">
        <x:v>Test expired/cross-user access</x:v>
      </x:c>
      <x:c r="Z17" s="16" t="str">
        <x:v>Access lifecycle proof</x:v>
      </x:c>
      <x:c r="AA17" s="16" t="str">
        <x:v>Source documents describe separate secure flow</x:v>
      </x:c>
      <x:c r="AB17" s="16" t="str">
        <x:v>PublicFormerEmployeePortalController.cs; offboarding-ui-doc.md</x:v>
      </x:c>
      <x:c r="AC17" s="16" t="str">
        <x:v>Documented - Not Runtime Verified</x:v>
      </x:c>
    </x:row>
    <x:row r="18">
      <x:c r="A18" s="16" t="str">
        <x:v>POL-001</x:v>
      </x:c>
      <x:c r="B18" s="16" t="str">
        <x:v>Policies &amp; Admin</x:v>
      </x:c>
      <x:c r="C18" s="16" t="str">
        <x:v>Company policies</x:v>
      </x:c>
      <x:c r="D18" s="16" t="str">
        <x:v>Policy routes and governance</x:v>
      </x:c>
      <x:c r="E18" s="16" t="str">
        <x:v>Full stack</x:v>
      </x:c>
      <x:c r="F18" s="16" t="str">
        <x:v>Present</x:v>
      </x:c>
      <x:c r="G18" s="16" t="str">
        <x:v>Present</x:v>
      </x:c>
      <x:c r="H18" s="16" t="str">
        <x:v>MongoDB policies</x:v>
      </x:c>
      <x:c r="I18" s="16" t="str">
        <x:v>Policy lifecycle</x:v>
      </x:c>
      <x:c r="J18" s="16" t="str">
        <x:v>Policy permission needs route review</x:v>
      </x:c>
      <x:c r="K18" s="16" t="str">
        <x:v>None</x:v>
      </x:c>
      <x:c r="L18" s="16" t="str">
        <x:v>Needs regression</x:v>
      </x:c>
      <x:c r="M18" s="16" t="str">
        <x:v>routing-and-auth.md</x:v>
      </x:c>
      <x:c r="N18" s="16" t="str">
        <x:v>Parent route may be unguarded</x:v>
      </x:c>
      <x:c r="O18" s="16" t="str">
        <x:v>Unassigned</x:v>
      </x:c>
      <x:c r="P18" s="16" t="str">
        <x:v>Medium</x:v>
      </x:c>
      <x:c r="Q18" s="16" t="str">
        <x:v>Planned</x:v>
      </x:c>
      <x:c r="R18" s="17" t="n">
        <x:v>0.45</x:v>
      </x:c>
      <x:c r="S18" s="16" t="str">
        <x:v>Not Ready</x:v>
      </x:c>
      <x:c r="T18" s="18"/>
      <x:c r="U18" s="18"/>
      <x:c r="V18" s="16" t="str">
        <x:v>Route hardening</x:v>
      </x:c>
      <x:c r="W18" s="16" t="str">
        <x:v>Medium</x:v>
      </x:c>
      <x:c r="X18" s="16" t="str">
        <x:v>Route authorization decision</x:v>
      </x:c>
      <x:c r="Y18" s="16" t="str">
        <x:v>Add/confirm route gate</x:v>
      </x:c>
      <x:c r="Z18" s="16" t="str">
        <x:v>Route consistency</x:v>
      </x:c>
      <x:c r="AA18" s="16" t="str">
        <x:v>Docs identify companypolicy parent as potential guard gap</x:v>
      </x:c>
      <x:c r="AB18" s="16" t="str">
        <x:v>CMS-React/docs/routing-and-auth.md</x:v>
      </x:c>
      <x:c r="AC18" s="16" t="str">
        <x:v>Verified - Source</x:v>
      </x:c>
    </x:row>
    <x:row r="19">
      <x:c r="A19" s="16" t="str">
        <x:v>DASH-001</x:v>
      </x:c>
      <x:c r="B19" s="16" t="str">
        <x:v>Dashboard &amp; Notices</x:v>
      </x:c>
      <x:c r="C19" s="16" t="str">
        <x:v>Dashboard</x:v>
      </x:c>
      <x:c r="D19" s="16" t="str">
        <x:v>Operational summaries and notices</x:v>
      </x:c>
      <x:c r="E19" s="16" t="str">
        <x:v>Full stack</x:v>
      </x:c>
      <x:c r="F19" s="16" t="str">
        <x:v>Present</x:v>
      </x:c>
      <x:c r="G19" s="16" t="str">
        <x:v>Present</x:v>
      </x:c>
      <x:c r="H19" s="16" t="str">
        <x:v>MongoDB/read models</x:v>
      </x:c>
      <x:c r="I19" s="16" t="str">
        <x:v>Company context</x:v>
      </x:c>
      <x:c r="J19" s="16" t="str">
        <x:v>Dashboard permission</x:v>
      </x:c>
      <x:c r="K19" s="16" t="str">
        <x:v>None</x:v>
      </x:c>
      <x:c r="L19" s="16" t="str">
        <x:v>Needs E2E</x:v>
      </x:c>
      <x:c r="M19" s="16" t="str">
        <x:v>architecture.md</x:v>
      </x:c>
      <x:c r="N19" s="16" t="str">
        <x:v>No current runtime evidence</x:v>
      </x:c>
      <x:c r="O19" s="16" t="str">
        <x:v>Unassigned</x:v>
      </x:c>
      <x:c r="P19" s="16" t="str">
        <x:v>Medium</x:v>
      </x:c>
      <x:c r="Q19" s="16" t="str">
        <x:v>In Progress</x:v>
      </x:c>
      <x:c r="R19" s="17" t="n">
        <x:v>0.55</x:v>
      </x:c>
      <x:c r="S19" s="16" t="str">
        <x:v>Needs QA</x:v>
      </x:c>
      <x:c r="T19" s="18"/>
      <x:c r="U19" s="18"/>
      <x:c r="V19" s="16" t="str">
        <x:v>Operational visibility</x:v>
      </x:c>
      <x:c r="W19" s="16" t="str">
        <x:v>Medium</x:v>
      </x:c>
      <x:c r="X19" s="16" t="str">
        <x:v>Define acceptance KPIs</x:v>
      </x:c>
      <x:c r="Y19" s="16" t="str">
        <x:v>Validate tenant-scoped metrics</x:v>
      </x:c>
      <x:c r="Z19" s="16" t="str">
        <x:v>Read-model test coverage</x:v>
      </x:c>
      <x:c r="AA19" s="16" t="str">
        <x:v>Controllers/services are present</x:v>
      </x:c>
      <x:c r="AB19" s="16" t="str">
        <x:v>DashboardController.cs; NoticeBoardController.cs</x:v>
      </x:c>
      <x:c r="AC19" s="16" t="str">
        <x:v>Verified - Source</x:v>
      </x:c>
    </x:row>
    <x:row r="20">
      <x:c r="A20" s="16" t="str">
        <x:v>QA-001</x:v>
      </x:c>
      <x:c r="B20" s="16" t="str">
        <x:v>Quality Engineering</x:v>
      </x:c>
      <x:c r="C20" s="16" t="str">
        <x:v>Automated QA harness</x:v>
      </x:c>
      <x:c r="D20" s="16" t="str">
        <x:v>Playwright regression suite</x:v>
      </x:c>
      <x:c r="E20" s="16" t="str">
        <x:v>Testing</x:v>
      </x:c>
      <x:c r="F20" s="16" t="str">
        <x:v>N/A</x:v>
      </x:c>
      <x:c r="G20" s="16" t="str">
        <x:v>N/A</x:v>
      </x:c>
      <x:c r="H20" s="16" t="str">
        <x:v>Test artifacts</x:v>
      </x:c>
      <x:c r="I20" s="16" t="str">
        <x:v>Test isolation</x:v>
      </x:c>
      <x:c r="J20" s="16" t="str">
        <x:v>Credential handling</x:v>
      </x:c>
      <x:c r="K20" s="16" t="str">
        <x:v>Playwright</x:v>
      </x:c>
      <x:c r="L20" s="16" t="str">
        <x:v>Partial suite results</x:v>
      </x:c>
      <x:c r="M20" s="16" t="str">
        <x:v>CMS-QA README</x:v>
      </x:c>
      <x:c r="N20" s="16" t="str">
        <x:v>Local shared rate limiter can cause 429</x:v>
      </x:c>
      <x:c r="O20" s="16" t="str">
        <x:v>Unassigned</x:v>
      </x:c>
      <x:c r="P20" s="16" t="str">
        <x:v>High</x:v>
      </x:c>
      <x:c r="Q20" s="16" t="str">
        <x:v>In Progress</x:v>
      </x:c>
      <x:c r="R20" s="17" t="n">
        <x:v>0.7</x:v>
      </x:c>
      <x:c r="S20" s="16" t="str">
        <x:v>Needs QA</x:v>
      </x:c>
      <x:c r="T20" s="18"/>
      <x:c r="U20" s="18"/>
      <x:c r="V20" s="16" t="str">
        <x:v>Quality gate</x:v>
      </x:c>
      <x:c r="W20" s="16" t="str">
        <x:v>High</x:v>
      </x:c>
      <x:c r="X20" s="16" t="str">
        <x:v>Stabilize isolated run</x:v>
      </x:c>
      <x:c r="Y20" s="16" t="str">
        <x:v>Run full suite with safe config</x:v>
      </x:c>
      <x:c r="Z20" s="16" t="str">
        <x:v>Environment coupling</x:v>
      </x:c>
      <x:c r="AA20" s="16" t="str">
        <x:v>Prior observed guarded localhost run 87 pass, 0 fail, 3 skip</x:v>
      </x:c>
      <x:c r="AB20" s="16" t="str">
        <x:v>CMS-QA/README.md; memory summary</x:v>
      </x:c>
      <x:c r="AC20" s="16" t="str">
        <x:v>Documented - Not Runtime Verified</x:v>
      </x:c>
    </x:row>
    <x:row r="21">
      <x:c r="A21" s="16" t="str">
        <x:v>OPS-001</x:v>
      </x:c>
      <x:c r="B21" s="16" t="str">
        <x:v>DevOps &amp; Security</x:v>
      </x:c>
      <x:c r="C21" s="16" t="str">
        <x:v>Production readiness</x:v>
      </x:c>
      <x:c r="D21" s="16" t="str">
        <x:v>Secrets, backups, replica set, deployment checks</x:v>
      </x:c>
      <x:c r="E21" s="16" t="str">
        <x:v>Platform</x:v>
      </x:c>
      <x:c r="F21" s="16" t="str">
        <x:v>N/A</x:v>
      </x:c>
      <x:c r="G21" s="16" t="str">
        <x:v>Present</x:v>
      </x:c>
      <x:c r="H21" s="16" t="str">
        <x:v>MongoDB</x:v>
      </x:c>
      <x:c r="I21" s="16" t="str">
        <x:v>Backups and migration order</x:v>
      </x:c>
      <x:c r="J21" s="16" t="str">
        <x:v>Secrets externalized</x:v>
      </x:c>
      <x:c r="K21" s="16" t="str">
        <x:v>SMTP/reCAPTCHA</x:v>
      </x:c>
      <x:c r="L21" s="16" t="str">
        <x:v>Needs drill</x:v>
      </x:c>
      <x:c r="M21" s="16" t="str">
        <x:v>README.md</x:v>
      </x:c>
      <x:c r="N21" s="16" t="str">
        <x:v>Restore / E2E evidence unavailable</x:v>
      </x:c>
      <x:c r="O21" s="16" t="str">
        <x:v>Unassigned</x:v>
      </x:c>
      <x:c r="P21" s="16" t="str">
        <x:v>Critical</x:v>
      </x:c>
      <x:c r="Q21" s="16" t="str">
        <x:v>Planned</x:v>
      </x:c>
      <x:c r="R21" s="17" t="n">
        <x:v>0.35</x:v>
      </x:c>
      <x:c r="S21" s="16" t="str">
        <x:v>Not Ready</x:v>
      </x:c>
      <x:c r="T21" s="18"/>
      <x:c r="U21" s="18"/>
      <x:c r="V21" s="16" t="str">
        <x:v>Production foundation</x:v>
      </x:c>
      <x:c r="W21" s="16" t="str">
        <x:v>Critical</x:v>
      </x:c>
      <x:c r="X21" s="16" t="str">
        <x:v>Deployment evidence</x:v>
      </x:c>
      <x:c r="Y21" s="16" t="str">
        <x:v>Run backup/restore and release checklist</x:v>
      </x:c>
      <x:c r="Z21" s="16" t="str">
        <x:v>Outbox/transaction architecture</x:v>
      </x:c>
      <x:c r="AA21" s="16" t="str">
        <x:v>README requires replica set/backups and test flows</x:v>
      </x:c>
      <x:c r="AB21" s="16" t="str">
        <x:v>backend README.md</x:v>
      </x:c>
      <x:c r="AC21" s="16" t="str">
        <x:v>Verified - Source</x:v>
      </x:c>
    </x:row>
  </x:sheetData>
  <x:mergeCells>
    <x:mergeCell ref="A1:AG1"/>
  </x:mergeCells>
  <x:conditionalFormatting sqref="R4:R21">
    <x:cfRule type="dataBar" priority="1">
      <x:dataBar>
        <x:cfvo type="min"/>
        <x:cfvo type="max"/>
        <x:color rgb="FF0F766E"/>
      </x:dataBar>
      <x:extLst>
        <x:ext xmlns:x14="http://schemas.microsoft.com/office/spreadsheetml/2009/9/main" uri="{B025F937-C7B1-47D3-B67F-A62EFF666E3E}">
          <x14:id>{F7093721-CBAE-3513-411B-378974B4E9C2}</x14:id>
        </x:ext>
      </x:extLst>
    </x:cfRule>
  </x:conditionalFormatting>
  <x:conditionalFormatting sqref="P4:P21">
    <x:cfRule type="containsText" dxfId="0" priority="2" operator="containsText" text="Critical"/>
  </x:conditionalFormatting>
  <x:conditionalFormatting sqref="X4:X21">
    <x:cfRule type="containsText" dxfId="1" priority="3" operator="containsText" text="Isolated test"/>
  </x:conditionalFormatting>
  <x:dataValidations count="6">
    <x:dataValidation type="list" sqref="P4:P253">
      <x:formula1>'Definitions Dropdowns'!$B$4:$B$7</x:formula1>
    </x:dataValidation>
    <x:dataValidation type="list" sqref="Q4:Q253">
      <x:formula1>'Definitions Dropdowns'!$A$4:$A$11</x:formula1>
    </x:dataValidation>
    <x:dataValidation type="list" sqref="S4:S253">
      <x:formula1>'Definitions Dropdowns'!$C$4:$C$7</x:formula1>
    </x:dataValidation>
    <x:dataValidation type="list" sqref="W4:W253">
      <x:formula1>'Definitions Dropdowns'!$E$4:$E$7</x:formula1>
    </x:dataValidation>
    <x:dataValidation type="list" sqref="O4:O253">
      <x:formula1>'Definitions Dropdowns'!$F$4:$F$9</x:formula1>
    </x:dataValidation>
    <x:dataValidation type="list" sqref="AC4:AC253">
      <x:formula1>'Definitions Dropdowns'!$D$4:$D$6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004d15abca94001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F7093721-CBAE-3513-411B-378974B4E9C2}">
            <x14:dataBar gradient="1">
              <x14:cfvo type="min"/>
              <x14:cfvo type="max"/>
              <x14:fillColor rgb="FF0F766E"/>
            </x14:dataBar>
          </x14:cfRule>
          <xm:sqref>R4:R21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2" hidden="0" customWidth="1"/>
    <x:col min="3" max="3" width="16" hidden="0" customWidth="1"/>
    <x:col min="4" max="4" width="12" hidden="0" customWidth="1"/>
    <x:col min="5" max="5" width="12" hidden="0" customWidth="1"/>
    <x:col min="6" max="6" width="15" hidden="0" customWidth="1"/>
    <x:col min="7" max="7" width="15" hidden="0" customWidth="1"/>
    <x:col min="8" max="8" width="15" hidden="0" customWidth="1"/>
    <x:col min="9" max="9" width="18" hidden="0" customWidth="1"/>
    <x:col min="10" max="10" width="44" hidden="0" customWidth="1"/>
  </x:cols>
  <x:sheetData>
    <x:row r="1" ht="30" customHeight="1">
      <x:c r="A1" s="30" t="str">
        <x:v>Module Summary — formula-driven from Master Feature Tracker</x:v>
      </x:c>
      <x:c r="B1" s="31"/>
      <x:c r="C1" s="31"/>
      <x:c r="D1" s="31"/>
      <x:c r="E1" s="31"/>
      <x:c r="F1" s="31"/>
      <x:c r="G1" s="31"/>
      <x:c r="H1" s="31"/>
      <x:c r="I1" s="31"/>
      <x:c r="J1" s="31"/>
    </x:row>
    <x:row r="2">
      <x:c r="A2" s="31"/>
      <x:c r="B2" s="31"/>
      <x:c r="C2" s="31"/>
      <x:c r="D2" s="31"/>
      <x:c r="E2" s="31"/>
      <x:c r="F2" s="31"/>
      <x:c r="G2" s="31"/>
      <x:c r="H2" s="31"/>
      <x:c r="I2" s="31"/>
      <x:c r="J2" s="31"/>
    </x:row>
    <x:row r="3">
      <x:c r="A3" s="36" t="str">
        <x:v>Module</x:v>
      </x:c>
      <x:c r="B3" s="36" t="str">
        <x:v>Features</x:v>
      </x:c>
      <x:c r="C3" s="36" t="str">
        <x:v>Avg % Complete</x:v>
      </x:c>
      <x:c r="D3" s="36" t="str">
        <x:v>Done</x:v>
      </x:c>
      <x:c r="E3" s="36" t="str">
        <x:v>Blocked</x:v>
      </x:c>
      <x:c r="F3" s="36" t="str">
        <x:v>Critical/High</x:v>
      </x:c>
      <x:c r="G3" s="36" t="str">
        <x:v>Needs QA</x:v>
      </x:c>
      <x:c r="H3" s="36" t="str">
        <x:v>Not Ready</x:v>
      </x:c>
      <x:c r="I3" s="36" t="str">
        <x:v>Production Ready</x:v>
      </x:c>
      <x:c r="J3" s="36" t="str">
        <x:v>Management Note</x:v>
      </x:c>
    </x:row>
    <x:row r="4">
      <x:c r="A4" s="31" t="str">
        <x:v>Platform &amp; Access</x:v>
      </x:c>
      <x:c r="B4" s="31" t="n">
        <x:f>COUNTIF('Master Feature Tracker'!$B$4:$B$253,A4)</x:f>
        <x:v>1</x:v>
      </x:c>
      <x:c r="C4" s="38" t="n">
        <x:f>AVERAGEIF('Master Feature Tracker'!$B$4:$B$253,A4,'Master Feature Tracker'!$R$4:$R$253)</x:f>
        <x:v>0.65</x:v>
      </x:c>
      <x:c r="D4" s="31" t="n">
        <x:f>COUNTIFS('Master Feature Tracker'!$B$4:$B$253,A4,'Master Feature Tracker'!$Q$4:$Q$253,"Done")</x:f>
        <x:v>0</x:v>
      </x:c>
      <x:c r="E4" s="31" t="n">
        <x:f>COUNTIFS('Master Feature Tracker'!$B$4:$B$253,A4,'Master Feature Tracker'!$Q$4:$Q$253,"Blocked")</x:f>
        <x:v>0</x:v>
      </x:c>
      <x:c r="F4" s="31" t="n">
        <x:f>COUNTIFS('Master Feature Tracker'!$B$4:$B$253,A4,'Master Feature Tracker'!$P$4:$P$253,"Critical")+COUNTIFS('Master Feature Tracker'!$B$4:$B$253,A4,'Master Feature Tracker'!$P$4:$P$253,"High")</x:f>
        <x:v>1</x:v>
      </x:c>
      <x:c r="G4" s="31" t="n">
        <x:f>COUNTIFS('Master Feature Tracker'!$B$4:$B$253,A4,'Master Feature Tracker'!$S$4:$S$253,"Needs QA")</x:f>
        <x:v>1</x:v>
      </x:c>
      <x:c r="H4" s="31" t="n">
        <x:f>COUNTIFS('Master Feature Tracker'!$B$4:$B$253,A4,'Master Feature Tracker'!$S$4:$S$253,"Not Ready")</x:f>
        <x:v>0</x:v>
      </x:c>
      <x:c r="I4" s="31" t="n">
        <x:f>COUNTIFS('Master Feature Tracker'!$B$4:$B$253,A4,'Master Feature Tracker'!$S$4:$S$253,"Production Ready")</x:f>
        <x:v>0</x:v>
      </x:c>
      <x:c r="J4" s="31" t="str">
        <x:v>Update owner, target date and next action in Master Feature Tracker</x:v>
      </x:c>
    </x:row>
    <x:row r="5">
      <x:c r="A5" s="31" t="str">
        <x:v>Company &amp; Tenant</x:v>
      </x:c>
      <x:c r="B5" s="31" t="n">
        <x:f>COUNTIF('Master Feature Tracker'!$B$4:$B$253,A5)</x:f>
        <x:v>1</x:v>
      </x:c>
      <x:c r="C5" s="38" t="n">
        <x:f>AVERAGEIF('Master Feature Tracker'!$B$4:$B$253,A5,'Master Feature Tracker'!$R$4:$R$253)</x:f>
        <x:v>0.7</x:v>
      </x:c>
      <x:c r="D5" s="31" t="n">
        <x:f>COUNTIFS('Master Feature Tracker'!$B$4:$B$253,A5,'Master Feature Tracker'!$Q$4:$Q$253,"Done")</x:f>
        <x:v>0</x:v>
      </x:c>
      <x:c r="E5" s="31" t="n">
        <x:f>COUNTIFS('Master Feature Tracker'!$B$4:$B$253,A5,'Master Feature Tracker'!$Q$4:$Q$253,"Blocked")</x:f>
        <x:v>0</x:v>
      </x:c>
      <x:c r="F5" s="31" t="n">
        <x:f>COUNTIFS('Master Feature Tracker'!$B$4:$B$253,A5,'Master Feature Tracker'!$P$4:$P$253,"Critical")+COUNTIFS('Master Feature Tracker'!$B$4:$B$253,A5,'Master Feature Tracker'!$P$4:$P$253,"High")</x:f>
        <x:v>1</x:v>
      </x:c>
      <x:c r="G5" s="31" t="n">
        <x:f>COUNTIFS('Master Feature Tracker'!$B$4:$B$253,A5,'Master Feature Tracker'!$S$4:$S$253,"Needs QA")</x:f>
        <x:v>1</x:v>
      </x:c>
      <x:c r="H5" s="31" t="n">
        <x:f>COUNTIFS('Master Feature Tracker'!$B$4:$B$253,A5,'Master Feature Tracker'!$S$4:$S$253,"Not Ready")</x:f>
        <x:v>0</x:v>
      </x:c>
      <x:c r="I5" s="31" t="n">
        <x:f>COUNTIFS('Master Feature Tracker'!$B$4:$B$253,A5,'Master Feature Tracker'!$S$4:$S$253,"Production Ready")</x:f>
        <x:v>0</x:v>
      </x:c>
      <x:c r="J5" s="31" t="str">
        <x:v>Update owner, target date and next action in Master Feature Tracker</x:v>
      </x:c>
    </x:row>
    <x:row r="6">
      <x:c r="A6" s="31" t="str">
        <x:v>Employees</x:v>
      </x:c>
      <x:c r="B6" s="31" t="n">
        <x:f>COUNTIF('Master Feature Tracker'!$B$4:$B$253,A6)</x:f>
        <x:v>1</x:v>
      </x:c>
      <x:c r="C6" s="38" t="n">
        <x:f>AVERAGEIF('Master Feature Tracker'!$B$4:$B$253,A6,'Master Feature Tracker'!$R$4:$R$253)</x:f>
        <x:v>0.7</x:v>
      </x:c>
      <x:c r="D6" s="31" t="n">
        <x:f>COUNTIFS('Master Feature Tracker'!$B$4:$B$253,A6,'Master Feature Tracker'!$Q$4:$Q$253,"Done")</x:f>
        <x:v>0</x:v>
      </x:c>
      <x:c r="E6" s="31" t="n">
        <x:f>COUNTIFS('Master Feature Tracker'!$B$4:$B$253,A6,'Master Feature Tracker'!$Q$4:$Q$253,"Blocked")</x:f>
        <x:v>0</x:v>
      </x:c>
      <x:c r="F6" s="31" t="n">
        <x:f>COUNTIFS('Master Feature Tracker'!$B$4:$B$253,A6,'Master Feature Tracker'!$P$4:$P$253,"Critical")+COUNTIFS('Master Feature Tracker'!$B$4:$B$253,A6,'Master Feature Tracker'!$P$4:$P$253,"High")</x:f>
        <x:v>1</x:v>
      </x:c>
      <x:c r="G6" s="31" t="n">
        <x:f>COUNTIFS('Master Feature Tracker'!$B$4:$B$253,A6,'Master Feature Tracker'!$S$4:$S$253,"Needs QA")</x:f>
        <x:v>1</x:v>
      </x:c>
      <x:c r="H6" s="31" t="n">
        <x:f>COUNTIFS('Master Feature Tracker'!$B$4:$B$253,A6,'Master Feature Tracker'!$S$4:$S$253,"Not Ready")</x:f>
        <x:v>0</x:v>
      </x:c>
      <x:c r="I6" s="31" t="n">
        <x:f>COUNTIFS('Master Feature Tracker'!$B$4:$B$253,A6,'Master Feature Tracker'!$S$4:$S$253,"Production Ready")</x:f>
        <x:v>0</x:v>
      </x:c>
      <x:c r="J6" s="31" t="str">
        <x:v>Update owner, target date and next action in Master Feature Tracker</x:v>
      </x:c>
    </x:row>
    <x:row r="7">
      <x:c r="A7" s="31" t="str">
        <x:v>Leave</x:v>
      </x:c>
      <x:c r="B7" s="31" t="n">
        <x:f>COUNTIF('Master Feature Tracker'!$B$4:$B$253,A7)</x:f>
        <x:v>1</x:v>
      </x:c>
      <x:c r="C7" s="38" t="n">
        <x:f>AVERAGEIF('Master Feature Tracker'!$B$4:$B$253,A7,'Master Feature Tracker'!$R$4:$R$253)</x:f>
        <x:v>0.75</x:v>
      </x:c>
      <x:c r="D7" s="31" t="n">
        <x:f>COUNTIFS('Master Feature Tracker'!$B$4:$B$253,A7,'Master Feature Tracker'!$Q$4:$Q$253,"Done")</x:f>
        <x:v>0</x:v>
      </x:c>
      <x:c r="E7" s="31" t="n">
        <x:f>COUNTIFS('Master Feature Tracker'!$B$4:$B$253,A7,'Master Feature Tracker'!$Q$4:$Q$253,"Blocked")</x:f>
        <x:v>0</x:v>
      </x:c>
      <x:c r="F7" s="31" t="n">
        <x:f>COUNTIFS('Master Feature Tracker'!$B$4:$B$253,A7,'Master Feature Tracker'!$P$4:$P$253,"Critical")+COUNTIFS('Master Feature Tracker'!$B$4:$B$253,A7,'Master Feature Tracker'!$P$4:$P$253,"High")</x:f>
        <x:v>1</x:v>
      </x:c>
      <x:c r="G7" s="31" t="n">
        <x:f>COUNTIFS('Master Feature Tracker'!$B$4:$B$253,A7,'Master Feature Tracker'!$S$4:$S$253,"Needs QA")</x:f>
        <x:v>1</x:v>
      </x:c>
      <x:c r="H7" s="31" t="n">
        <x:f>COUNTIFS('Master Feature Tracker'!$B$4:$B$253,A7,'Master Feature Tracker'!$S$4:$S$253,"Not Ready")</x:f>
        <x:v>0</x:v>
      </x:c>
      <x:c r="I7" s="31" t="n">
        <x:f>COUNTIFS('Master Feature Tracker'!$B$4:$B$253,A7,'Master Feature Tracker'!$S$4:$S$253,"Production Ready")</x:f>
        <x:v>0</x:v>
      </x:c>
      <x:c r="J7" s="31" t="str">
        <x:v>Update owner, target date and next action in Master Feature Tracker</x:v>
      </x:c>
    </x:row>
    <x:row r="8">
      <x:c r="A8" s="31" t="str">
        <x:v>Attendance</x:v>
      </x:c>
      <x:c r="B8" s="31" t="n">
        <x:f>COUNTIF('Master Feature Tracker'!$B$4:$B$253,A8)</x:f>
        <x:v>2</x:v>
      </x:c>
      <x:c r="C8" s="38" t="n">
        <x:f>AVERAGEIF('Master Feature Tracker'!$B$4:$B$253,A8,'Master Feature Tracker'!$R$4:$R$253)</x:f>
        <x:v>0.7</x:v>
      </x:c>
      <x:c r="D8" s="31" t="n">
        <x:f>COUNTIFS('Master Feature Tracker'!$B$4:$B$253,A8,'Master Feature Tracker'!$Q$4:$Q$253,"Done")</x:f>
        <x:v>0</x:v>
      </x:c>
      <x:c r="E8" s="31" t="n">
        <x:f>COUNTIFS('Master Feature Tracker'!$B$4:$B$253,A8,'Master Feature Tracker'!$Q$4:$Q$253,"Blocked")</x:f>
        <x:v>0</x:v>
      </x:c>
      <x:c r="F8" s="31" t="n">
        <x:f>COUNTIFS('Master Feature Tracker'!$B$4:$B$253,A8,'Master Feature Tracker'!$P$4:$P$253,"Critical")+COUNTIFS('Master Feature Tracker'!$B$4:$B$253,A8,'Master Feature Tracker'!$P$4:$P$253,"High")</x:f>
        <x:v>2</x:v>
      </x:c>
      <x:c r="G8" s="31" t="n">
        <x:f>COUNTIFS('Master Feature Tracker'!$B$4:$B$253,A8,'Master Feature Tracker'!$S$4:$S$253,"Needs QA")</x:f>
        <x:v>2</x:v>
      </x:c>
      <x:c r="H8" s="31" t="n">
        <x:f>COUNTIFS('Master Feature Tracker'!$B$4:$B$253,A8,'Master Feature Tracker'!$S$4:$S$253,"Not Ready")</x:f>
        <x:v>0</x:v>
      </x:c>
      <x:c r="I8" s="31" t="n">
        <x:f>COUNTIFS('Master Feature Tracker'!$B$4:$B$253,A8,'Master Feature Tracker'!$S$4:$S$253,"Production Ready")</x:f>
        <x:v>0</x:v>
      </x:c>
      <x:c r="J8" s="31" t="str">
        <x:v>Update owner, target date and next action in Master Feature Tracker</x:v>
      </x:c>
    </x:row>
    <x:row r="9">
      <x:c r="A9" s="31" t="str">
        <x:v>Work From Home</x:v>
      </x:c>
      <x:c r="B9" s="31" t="n">
        <x:f>COUNTIF('Master Feature Tracker'!$B$4:$B$253,A9)</x:f>
        <x:v>1</x:v>
      </x:c>
      <x:c r="C9" s="38" t="n">
        <x:f>AVERAGEIF('Master Feature Tracker'!$B$4:$B$253,A9,'Master Feature Tracker'!$R$4:$R$253)</x:f>
        <x:v>0.7</x:v>
      </x:c>
      <x:c r="D9" s="31" t="n">
        <x:f>COUNTIFS('Master Feature Tracker'!$B$4:$B$253,A9,'Master Feature Tracker'!$Q$4:$Q$253,"Done")</x:f>
        <x:v>0</x:v>
      </x:c>
      <x:c r="E9" s="31" t="n">
        <x:f>COUNTIFS('Master Feature Tracker'!$B$4:$B$253,A9,'Master Feature Tracker'!$Q$4:$Q$253,"Blocked")</x:f>
        <x:v>0</x:v>
      </x:c>
      <x:c r="F9" s="31" t="n">
        <x:f>COUNTIFS('Master Feature Tracker'!$B$4:$B$253,A9,'Master Feature Tracker'!$P$4:$P$253,"Critical")+COUNTIFS('Master Feature Tracker'!$B$4:$B$253,A9,'Master Feature Tracker'!$P$4:$P$253,"High")</x:f>
        <x:v>1</x:v>
      </x:c>
      <x:c r="G9" s="31" t="n">
        <x:f>COUNTIFS('Master Feature Tracker'!$B$4:$B$253,A9,'Master Feature Tracker'!$S$4:$S$253,"Needs QA")</x:f>
        <x:v>1</x:v>
      </x:c>
      <x:c r="H9" s="31" t="n">
        <x:f>COUNTIFS('Master Feature Tracker'!$B$4:$B$253,A9,'Master Feature Tracker'!$S$4:$S$253,"Not Ready")</x:f>
        <x:v>0</x:v>
      </x:c>
      <x:c r="I9" s="31" t="n">
        <x:f>COUNTIFS('Master Feature Tracker'!$B$4:$B$253,A9,'Master Feature Tracker'!$S$4:$S$253,"Production Ready")</x:f>
        <x:v>0</x:v>
      </x:c>
      <x:c r="J9" s="31" t="str">
        <x:v>Update owner, target date and next action in Master Feature Tracker</x:v>
      </x:c>
    </x:row>
    <x:row r="10">
      <x:c r="A10" s="31" t="str">
        <x:v>Payroll</x:v>
      </x:c>
      <x:c r="B10" s="31" t="n">
        <x:f>COUNTIF('Master Feature Tracker'!$B$4:$B$253,A10)</x:f>
        <x:v>2</x:v>
      </x:c>
      <x:c r="C10" s="38" t="n">
        <x:f>AVERAGEIF('Master Feature Tracker'!$B$4:$B$253,A10,'Master Feature Tracker'!$R$4:$R$253)</x:f>
        <x:v>0.675</x:v>
      </x:c>
      <x:c r="D10" s="31" t="n">
        <x:f>COUNTIFS('Master Feature Tracker'!$B$4:$B$253,A10,'Master Feature Tracker'!$Q$4:$Q$253,"Done")</x:f>
        <x:v>0</x:v>
      </x:c>
      <x:c r="E10" s="31" t="n">
        <x:f>COUNTIFS('Master Feature Tracker'!$B$4:$B$253,A10,'Master Feature Tracker'!$Q$4:$Q$253,"Blocked")</x:f>
        <x:v>0</x:v>
      </x:c>
      <x:c r="F10" s="31" t="n">
        <x:f>COUNTIFS('Master Feature Tracker'!$B$4:$B$253,A10,'Master Feature Tracker'!$P$4:$P$253,"Critical")+COUNTIFS('Master Feature Tracker'!$B$4:$B$253,A10,'Master Feature Tracker'!$P$4:$P$253,"High")</x:f>
        <x:v>2</x:v>
      </x:c>
      <x:c r="G10" s="31" t="n">
        <x:f>COUNTIFS('Master Feature Tracker'!$B$4:$B$253,A10,'Master Feature Tracker'!$S$4:$S$253,"Needs QA")</x:f>
        <x:v>2</x:v>
      </x:c>
      <x:c r="H10" s="31" t="n">
        <x:f>COUNTIFS('Master Feature Tracker'!$B$4:$B$253,A10,'Master Feature Tracker'!$S$4:$S$253,"Not Ready")</x:f>
        <x:v>0</x:v>
      </x:c>
      <x:c r="I10" s="31" t="n">
        <x:f>COUNTIFS('Master Feature Tracker'!$B$4:$B$253,A10,'Master Feature Tracker'!$S$4:$S$253,"Production Ready")</x:f>
        <x:v>0</x:v>
      </x:c>
      <x:c r="J10" s="31" t="str">
        <x:v>Update owner, target date and next action in Master Feature Tracker</x:v>
      </x:c>
    </x:row>
    <x:row r="11">
      <x:c r="A11" s="31" t="str">
        <x:v>Recruitment</x:v>
      </x:c>
      <x:c r="B11" s="31" t="n">
        <x:f>COUNTIF('Master Feature Tracker'!$B$4:$B$253,A11)</x:f>
        <x:v>2</x:v>
      </x:c>
      <x:c r="C11" s="38" t="n">
        <x:f>AVERAGEIF('Master Feature Tracker'!$B$4:$B$253,A11,'Master Feature Tracker'!$R$4:$R$253)</x:f>
        <x:v>0.575</x:v>
      </x:c>
      <x:c r="D11" s="31" t="n">
        <x:f>COUNTIFS('Master Feature Tracker'!$B$4:$B$253,A11,'Master Feature Tracker'!$Q$4:$Q$253,"Done")</x:f>
        <x:v>0</x:v>
      </x:c>
      <x:c r="E11" s="31" t="n">
        <x:f>COUNTIFS('Master Feature Tracker'!$B$4:$B$253,A11,'Master Feature Tracker'!$Q$4:$Q$253,"Blocked")</x:f>
        <x:v>0</x:v>
      </x:c>
      <x:c r="F11" s="31" t="n">
        <x:f>COUNTIFS('Master Feature Tracker'!$B$4:$B$253,A11,'Master Feature Tracker'!$P$4:$P$253,"Critical")+COUNTIFS('Master Feature Tracker'!$B$4:$B$253,A11,'Master Feature Tracker'!$P$4:$P$253,"High")</x:f>
        <x:v>2</x:v>
      </x:c>
      <x:c r="G11" s="31" t="n">
        <x:f>COUNTIFS('Master Feature Tracker'!$B$4:$B$253,A11,'Master Feature Tracker'!$S$4:$S$253,"Needs QA")</x:f>
        <x:v>2</x:v>
      </x:c>
      <x:c r="H11" s="31" t="n">
        <x:f>COUNTIFS('Master Feature Tracker'!$B$4:$B$253,A11,'Master Feature Tracker'!$S$4:$S$253,"Not Ready")</x:f>
        <x:v>0</x:v>
      </x:c>
      <x:c r="I11" s="31" t="n">
        <x:f>COUNTIFS('Master Feature Tracker'!$B$4:$B$253,A11,'Master Feature Tracker'!$S$4:$S$253,"Production Ready")</x:f>
        <x:v>0</x:v>
      </x:c>
      <x:c r="J11" s="31" t="str">
        <x:v>Update owner, target date and next action in Master Feature Tracker</x:v>
      </x:c>
    </x:row>
    <x:row r="12">
      <x:c r="A12" s="31" t="str">
        <x:v>Public Careers</x:v>
      </x:c>
      <x:c r="B12" s="31" t="n">
        <x:f>COUNTIF('Master Feature Tracker'!$B$4:$B$253,A12)</x:f>
        <x:v>1</x:v>
      </x:c>
      <x:c r="C12" s="38" t="n">
        <x:f>AVERAGEIF('Master Feature Tracker'!$B$4:$B$253,A12,'Master Feature Tracker'!$R$4:$R$253)</x:f>
        <x:v>0.7</x:v>
      </x:c>
      <x:c r="D12" s="31" t="n">
        <x:f>COUNTIFS('Master Feature Tracker'!$B$4:$B$253,A12,'Master Feature Tracker'!$Q$4:$Q$253,"Done")</x:f>
        <x:v>0</x:v>
      </x:c>
      <x:c r="E12" s="31" t="n">
        <x:f>COUNTIFS('Master Feature Tracker'!$B$4:$B$253,A12,'Master Feature Tracker'!$Q$4:$Q$253,"Blocked")</x:f>
        <x:v>0</x:v>
      </x:c>
      <x:c r="F12" s="31" t="n">
        <x:f>COUNTIFS('Master Feature Tracker'!$B$4:$B$253,A12,'Master Feature Tracker'!$P$4:$P$253,"Critical")+COUNTIFS('Master Feature Tracker'!$B$4:$B$253,A12,'Master Feature Tracker'!$P$4:$P$253,"High")</x:f>
        <x:v>0</x:v>
      </x:c>
      <x:c r="G12" s="31" t="n">
        <x:f>COUNTIFS('Master Feature Tracker'!$B$4:$B$253,A12,'Master Feature Tracker'!$S$4:$S$253,"Needs QA")</x:f>
        <x:v>1</x:v>
      </x:c>
      <x:c r="H12" s="31" t="n">
        <x:f>COUNTIFS('Master Feature Tracker'!$B$4:$B$253,A12,'Master Feature Tracker'!$S$4:$S$253,"Not Ready")</x:f>
        <x:v>0</x:v>
      </x:c>
      <x:c r="I12" s="31" t="n">
        <x:f>COUNTIFS('Master Feature Tracker'!$B$4:$B$253,A12,'Master Feature Tracker'!$S$4:$S$253,"Production Ready")</x:f>
        <x:v>0</x:v>
      </x:c>
      <x:c r="J12" s="31" t="str">
        <x:v>Update owner, target date and next action in Master Feature Tracker</x:v>
      </x:c>
    </x:row>
    <x:row r="13">
      <x:c r="A13" s="31" t="str">
        <x:v>Offboarding</x:v>
      </x:c>
      <x:c r="B13" s="31" t="n">
        <x:f>COUNTIF('Master Feature Tracker'!$B$4:$B$253,A13)</x:f>
        <x:v>2</x:v>
      </x:c>
      <x:c r="C13" s="38" t="n">
        <x:f>AVERAGEIF('Master Feature Tracker'!$B$4:$B$253,A13,'Master Feature Tracker'!$R$4:$R$253)</x:f>
        <x:v>0.7</x:v>
      </x:c>
      <x:c r="D13" s="31" t="n">
        <x:f>COUNTIFS('Master Feature Tracker'!$B$4:$B$253,A13,'Master Feature Tracker'!$Q$4:$Q$253,"Done")</x:f>
        <x:v>0</x:v>
      </x:c>
      <x:c r="E13" s="31" t="n">
        <x:f>COUNTIFS('Master Feature Tracker'!$B$4:$B$253,A13,'Master Feature Tracker'!$Q$4:$Q$253,"Blocked")</x:f>
        <x:v>0</x:v>
      </x:c>
      <x:c r="F13" s="31" t="n">
        <x:f>COUNTIFS('Master Feature Tracker'!$B$4:$B$253,A13,'Master Feature Tracker'!$P$4:$P$253,"Critical")+COUNTIFS('Master Feature Tracker'!$B$4:$B$253,A13,'Master Feature Tracker'!$P$4:$P$253,"High")</x:f>
        <x:v>2</x:v>
      </x:c>
      <x:c r="G13" s="31" t="n">
        <x:f>COUNTIFS('Master Feature Tracker'!$B$4:$B$253,A13,'Master Feature Tracker'!$S$4:$S$253,"Needs QA")</x:f>
        <x:v>2</x:v>
      </x:c>
      <x:c r="H13" s="31" t="n">
        <x:f>COUNTIFS('Master Feature Tracker'!$B$4:$B$253,A13,'Master Feature Tracker'!$S$4:$S$253,"Not Ready")</x:f>
        <x:v>0</x:v>
      </x:c>
      <x:c r="I13" s="31" t="n">
        <x:f>COUNTIFS('Master Feature Tracker'!$B$4:$B$253,A13,'Master Feature Tracker'!$S$4:$S$253,"Production Ready")</x:f>
        <x:v>0</x:v>
      </x:c>
      <x:c r="J13" s="31" t="str">
        <x:v>Update owner, target date and next action in Master Feature Tracker</x:v>
      </x:c>
    </x:row>
    <x:row r="14">
      <x:c r="A14" s="31" t="str">
        <x:v>Policies &amp; Admin</x:v>
      </x:c>
      <x:c r="B14" s="31" t="n">
        <x:f>COUNTIF('Master Feature Tracker'!$B$4:$B$253,A14)</x:f>
        <x:v>1</x:v>
      </x:c>
      <x:c r="C14" s="38" t="n">
        <x:f>AVERAGEIF('Master Feature Tracker'!$B$4:$B$253,A14,'Master Feature Tracker'!$R$4:$R$253)</x:f>
        <x:v>0.45</x:v>
      </x:c>
      <x:c r="D14" s="31" t="n">
        <x:f>COUNTIFS('Master Feature Tracker'!$B$4:$B$253,A14,'Master Feature Tracker'!$Q$4:$Q$253,"Done")</x:f>
        <x:v>0</x:v>
      </x:c>
      <x:c r="E14" s="31" t="n">
        <x:f>COUNTIFS('Master Feature Tracker'!$B$4:$B$253,A14,'Master Feature Tracker'!$Q$4:$Q$253,"Blocked")</x:f>
        <x:v>0</x:v>
      </x:c>
      <x:c r="F14" s="31" t="n">
        <x:f>COUNTIFS('Master Feature Tracker'!$B$4:$B$253,A14,'Master Feature Tracker'!$P$4:$P$253,"Critical")+COUNTIFS('Master Feature Tracker'!$B$4:$B$253,A14,'Master Feature Tracker'!$P$4:$P$253,"High")</x:f>
        <x:v>0</x:v>
      </x:c>
      <x:c r="G14" s="31" t="n">
        <x:f>COUNTIFS('Master Feature Tracker'!$B$4:$B$253,A14,'Master Feature Tracker'!$S$4:$S$253,"Needs QA")</x:f>
        <x:v>0</x:v>
      </x:c>
      <x:c r="H14" s="31" t="n">
        <x:f>COUNTIFS('Master Feature Tracker'!$B$4:$B$253,A14,'Master Feature Tracker'!$S$4:$S$253,"Not Ready")</x:f>
        <x:v>1</x:v>
      </x:c>
      <x:c r="I14" s="31" t="n">
        <x:f>COUNTIFS('Master Feature Tracker'!$B$4:$B$253,A14,'Master Feature Tracker'!$S$4:$S$253,"Production Ready")</x:f>
        <x:v>0</x:v>
      </x:c>
      <x:c r="J14" s="31" t="str">
        <x:v>Update owner, target date and next action in Master Feature Tracker</x:v>
      </x:c>
    </x:row>
    <x:row r="15">
      <x:c r="A15" s="31" t="str">
        <x:v>Dashboard &amp; Notices</x:v>
      </x:c>
      <x:c r="B15" s="31" t="n">
        <x:f>COUNTIF('Master Feature Tracker'!$B$4:$B$253,A15)</x:f>
        <x:v>1</x:v>
      </x:c>
      <x:c r="C15" s="38" t="n">
        <x:f>AVERAGEIF('Master Feature Tracker'!$B$4:$B$253,A15,'Master Feature Tracker'!$R$4:$R$253)</x:f>
        <x:v>0.55</x:v>
      </x:c>
      <x:c r="D15" s="31" t="n">
        <x:f>COUNTIFS('Master Feature Tracker'!$B$4:$B$253,A15,'Master Feature Tracker'!$Q$4:$Q$253,"Done")</x:f>
        <x:v>0</x:v>
      </x:c>
      <x:c r="E15" s="31" t="n">
        <x:f>COUNTIFS('Master Feature Tracker'!$B$4:$B$253,A15,'Master Feature Tracker'!$Q$4:$Q$253,"Blocked")</x:f>
        <x:v>0</x:v>
      </x:c>
      <x:c r="F15" s="31" t="n">
        <x:f>COUNTIFS('Master Feature Tracker'!$B$4:$B$253,A15,'Master Feature Tracker'!$P$4:$P$253,"Critical")+COUNTIFS('Master Feature Tracker'!$B$4:$B$253,A15,'Master Feature Tracker'!$P$4:$P$253,"High")</x:f>
        <x:v>0</x:v>
      </x:c>
      <x:c r="G15" s="31" t="n">
        <x:f>COUNTIFS('Master Feature Tracker'!$B$4:$B$253,A15,'Master Feature Tracker'!$S$4:$S$253,"Needs QA")</x:f>
        <x:v>1</x:v>
      </x:c>
      <x:c r="H15" s="31" t="n">
        <x:f>COUNTIFS('Master Feature Tracker'!$B$4:$B$253,A15,'Master Feature Tracker'!$S$4:$S$253,"Not Ready")</x:f>
        <x:v>0</x:v>
      </x:c>
      <x:c r="I15" s="31" t="n">
        <x:f>COUNTIFS('Master Feature Tracker'!$B$4:$B$253,A15,'Master Feature Tracker'!$S$4:$S$253,"Production Ready")</x:f>
        <x:v>0</x:v>
      </x:c>
      <x:c r="J15" s="31" t="str">
        <x:v>Update owner, target date and next action in Master Feature Tracker</x:v>
      </x:c>
    </x:row>
    <x:row r="16">
      <x:c r="A16" s="31" t="str">
        <x:v>Quality Engineering</x:v>
      </x:c>
      <x:c r="B16" s="31" t="n">
        <x:f>COUNTIF('Master Feature Tracker'!$B$4:$B$253,A16)</x:f>
        <x:v>1</x:v>
      </x:c>
      <x:c r="C16" s="38" t="n">
        <x:f>AVERAGEIF('Master Feature Tracker'!$B$4:$B$253,A16,'Master Feature Tracker'!$R$4:$R$253)</x:f>
        <x:v>0.7</x:v>
      </x:c>
      <x:c r="D16" s="31" t="n">
        <x:f>COUNTIFS('Master Feature Tracker'!$B$4:$B$253,A16,'Master Feature Tracker'!$Q$4:$Q$253,"Done")</x:f>
        <x:v>0</x:v>
      </x:c>
      <x:c r="E16" s="31" t="n">
        <x:f>COUNTIFS('Master Feature Tracker'!$B$4:$B$253,A16,'Master Feature Tracker'!$Q$4:$Q$253,"Blocked")</x:f>
        <x:v>0</x:v>
      </x:c>
      <x:c r="F16" s="31" t="n">
        <x:f>COUNTIFS('Master Feature Tracker'!$B$4:$B$253,A16,'Master Feature Tracker'!$P$4:$P$253,"Critical")+COUNTIFS('Master Feature Tracker'!$B$4:$B$253,A16,'Master Feature Tracker'!$P$4:$P$253,"High")</x:f>
        <x:v>1</x:v>
      </x:c>
      <x:c r="G16" s="31" t="n">
        <x:f>COUNTIFS('Master Feature Tracker'!$B$4:$B$253,A16,'Master Feature Tracker'!$S$4:$S$253,"Needs QA")</x:f>
        <x:v>1</x:v>
      </x:c>
      <x:c r="H16" s="31" t="n">
        <x:f>COUNTIFS('Master Feature Tracker'!$B$4:$B$253,A16,'Master Feature Tracker'!$S$4:$S$253,"Not Ready")</x:f>
        <x:v>0</x:v>
      </x:c>
      <x:c r="I16" s="31" t="n">
        <x:f>COUNTIFS('Master Feature Tracker'!$B$4:$B$253,A16,'Master Feature Tracker'!$S$4:$S$253,"Production Ready")</x:f>
        <x:v>0</x:v>
      </x:c>
      <x:c r="J16" s="31" t="str">
        <x:v>Update owner, target date and next action in Master Feature Tracker</x:v>
      </x:c>
    </x:row>
    <x:row r="17">
      <x:c r="A17" s="31" t="str">
        <x:v>DevOps &amp; Security</x:v>
      </x:c>
      <x:c r="B17" s="31" t="n">
        <x:f>COUNTIF('Master Feature Tracker'!$B$4:$B$253,A17)</x:f>
        <x:v>1</x:v>
      </x:c>
      <x:c r="C17" s="38" t="n">
        <x:f>AVERAGEIF('Master Feature Tracker'!$B$4:$B$253,A17,'Master Feature Tracker'!$R$4:$R$253)</x:f>
        <x:v>0.35</x:v>
      </x:c>
      <x:c r="D17" s="31" t="n">
        <x:f>COUNTIFS('Master Feature Tracker'!$B$4:$B$253,A17,'Master Feature Tracker'!$Q$4:$Q$253,"Done")</x:f>
        <x:v>0</x:v>
      </x:c>
      <x:c r="E17" s="31" t="n">
        <x:f>COUNTIFS('Master Feature Tracker'!$B$4:$B$253,A17,'Master Feature Tracker'!$Q$4:$Q$253,"Blocked")</x:f>
        <x:v>0</x:v>
      </x:c>
      <x:c r="F17" s="31" t="n">
        <x:f>COUNTIFS('Master Feature Tracker'!$B$4:$B$253,A17,'Master Feature Tracker'!$P$4:$P$253,"Critical")+COUNTIFS('Master Feature Tracker'!$B$4:$B$253,A17,'Master Feature Tracker'!$P$4:$P$253,"High")</x:f>
        <x:v>1</x:v>
      </x:c>
      <x:c r="G17" s="31" t="n">
        <x:f>COUNTIFS('Master Feature Tracker'!$B$4:$B$253,A17,'Master Feature Tracker'!$S$4:$S$253,"Needs QA")</x:f>
        <x:v>0</x:v>
      </x:c>
      <x:c r="H17" s="31" t="n">
        <x:f>COUNTIFS('Master Feature Tracker'!$B$4:$B$253,A17,'Master Feature Tracker'!$S$4:$S$253,"Not Ready")</x:f>
        <x:v>1</x:v>
      </x:c>
      <x:c r="I17" s="31" t="n">
        <x:f>COUNTIFS('Master Feature Tracker'!$B$4:$B$253,A17,'Master Feature Tracker'!$S$4:$S$253,"Production Ready")</x:f>
        <x:v>0</x:v>
      </x:c>
      <x:c r="J17" s="31" t="str">
        <x:v>Update owner, target date and next action in Master Feature Tracker</x:v>
      </x:c>
    </x:row>
  </x:sheetData>
  <x:mergeCells>
    <x:mergeCell ref="A1:J1"/>
  </x:mergeCells>
  <x:conditionalFormatting sqref="C4:C17">
    <x:cfRule type="dataBar" priority="1">
      <x:dataBar>
        <x:cfvo type="min"/>
        <x:cfvo type="max"/>
        <x:color rgb="FF0F766E"/>
      </x:dataBar>
      <x:extLst>
        <x:ext xmlns:x14="http://schemas.microsoft.com/office/spreadsheetml/2009/9/main" uri="{B025F937-C7B1-47D3-B67F-A62EFF666E3E}">
          <x14:id>{60A4F8B8-F4EA-C9BE-2AA0-6A06938FF6ED}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3ca5268c4e0d4e35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60A4F8B8-F4EA-C9BE-2AA0-6A06938FF6ED}">
            <x14:dataBar gradient="1">
              <x14:cfvo type="min"/>
              <x14:cfvo type="max"/>
              <x14:fillColor rgb="FF0F766E"/>
            </x14:dataBar>
          </x14:cfRule>
          <xm:sqref>C4:C17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32" hidden="0" customWidth="1"/>
    <x:col min="4" max="4" width="12" hidden="0" customWidth="1"/>
    <x:col min="5" max="5" width="16" hidden="0" customWidth="1"/>
    <x:col min="6" max="6" width="28" hidden="0" customWidth="1"/>
    <x:col min="7" max="7" width="34" hidden="0" customWidth="1"/>
    <x:col min="8" max="8" width="30" hidden="0" customWidth="1"/>
    <x:col min="9" max="9" width="25" hidden="0" customWidth="1"/>
    <x:col min="10" max="10" width="16" hidden="0" customWidth="1"/>
    <x:col min="11" max="11" width="15" hidden="0" customWidth="1"/>
    <x:col min="12" max="12" width="30" hidden="0" customWidth="1"/>
  </x:cols>
  <x:sheetData>
    <x:row r="1" ht="30" customHeight="1">
      <x:c r="A1" s="30" t="str">
        <x:v>Roadmap &amp; Priorities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</x:row>
    <x:row r="2">
      <x:c r="A2" s="31"/>
      <x:c r="B2" s="31"/>
      <x:c r="C2" s="31"/>
      <x:c r="D2" s="31"/>
      <x:c r="E2" s="31"/>
      <x:c r="F2" s="31"/>
      <x:c r="G2" s="31"/>
      <x:c r="H2" s="31"/>
      <x:c r="I2" s="31"/>
      <x:c r="J2" s="31"/>
      <x:c r="K2" s="31"/>
      <x:c r="L2" s="31"/>
    </x:row>
    <x:row r="3">
      <x:c r="A3" s="36" t="str">
        <x:v>Sequence</x:v>
      </x:c>
      <x:c r="B3" s="36" t="str">
        <x:v>Theme</x:v>
      </x:c>
      <x:c r="C3" s="36" t="str">
        <x:v>Goal</x:v>
      </x:c>
      <x:c r="D3" s="36" t="str">
        <x:v>Priority</x:v>
      </x:c>
      <x:c r="E3" s="36" t="str">
        <x:v>Target Release</x:v>
      </x:c>
      <x:c r="F3" s="36" t="str">
        <x:v>Entry Criteria</x:v>
      </x:c>
      <x:c r="G3" s="36" t="str">
        <x:v>Exit / Evidence</x:v>
      </x:c>
      <x:c r="H3" s="36" t="str">
        <x:v>Dependencies / Risks</x:v>
      </x:c>
      <x:c r="I3" s="36" t="str">
        <x:v>Decision Needed</x:v>
      </x:c>
      <x:c r="J3" s="36" t="str">
        <x:v>Owner</x:v>
      </x:c>
      <x:c r="K3" s="36" t="str">
        <x:v>Status</x:v>
      </x:c>
      <x:c r="L3" s="36" t="str">
        <x:v>Notes</x:v>
      </x:c>
    </x:row>
    <x:row r="4">
      <x:c r="A4" s="31" t="n">
        <x:v>1</x:v>
      </x:c>
      <x:c r="B4" s="31" t="str">
        <x:v>Production foundation</x:v>
      </x:c>
      <x:c r="C4" s="31" t="str">
        <x:v>Validate tenant, secrets, backups and release controls</x:v>
      </x:c>
      <x:c r="D4" s="31" t="str">
        <x:v>Critical</x:v>
      </x:c>
      <x:c r="E4" s="31" t="str">
        <x:v>R1</x:v>
      </x:c>
      <x:c r="F4" s="31" t="str">
        <x:v>Safe isolated test environment</x:v>
      </x:c>
      <x:c r="G4" s="31" t="str">
        <x:v>Backup/restore + tenant E2E evidence</x:v>
      </x:c>
      <x:c r="H4" s="31" t="str">
        <x:v>No approved isolated DB</x:v>
      </x:c>
      <x:c r="I4" s="31" t="str">
        <x:v>Test environment owner</x:v>
      </x:c>
      <x:c r="J4" s="31" t="str">
        <x:v>Unassigned</x:v>
      </x:c>
      <x:c r="K4" s="31" t="str">
        <x:v>Planned</x:v>
      </x:c>
      <x:c r="L4" s="31" t="str">
        <x:v>Derived from README and QA blocker</x:v>
      </x:c>
    </x:row>
    <x:row r="5">
      <x:c r="A5" s="31" t="n">
        <x:v>2</x:v>
      </x:c>
      <x:c r="B5" s="31" t="str">
        <x:v>HR core hardening</x:v>
      </x:c>
      <x:c r="C5" s="31" t="str">
        <x:v>Leave, attendance and payroll concurrency / transaction proof</x:v>
      </x:c>
      <x:c r="D5" s="31" t="str">
        <x:v>Critical</x:v>
      </x:c>
      <x:c r="E5" s="31" t="str">
        <x:v>R2</x:v>
      </x:c>
      <x:c r="F5" s="31" t="str">
        <x:v>Core flows mapped</x:v>
      </x:c>
      <x:c r="G5" s="31" t="str">
        <x:v>Concurrency and partial-failure scenarios pass</x:v>
      </x:c>
      <x:c r="H5" s="31" t="str">
        <x:v>Multi-document atomicity</x:v>
      </x:c>
      <x:c r="I5" s="31" t="str">
        <x:v>Transaction/saga/outbox approach</x:v>
      </x:c>
      <x:c r="J5" s="31" t="str">
        <x:v>Unassigned</x:v>
      </x:c>
      <x:c r="K5" s="31" t="str">
        <x:v>Planned</x:v>
      </x:c>
      <x:c r="L5" s="31" t="str">
        <x:v>Do not claim production-ready before proof</x:v>
      </x:c>
    </x:row>
    <x:row r="6">
      <x:c r="A6" s="31" t="n">
        <x:v>3</x:v>
      </x:c>
      <x:c r="B6" s="31" t="str">
        <x:v>Offboarding completion</x:v>
      </x:c>
      <x:c r="C6" s="31" t="str">
        <x:v>Wire documented backend fixes into UI and regression</x:v>
      </x:c>
      <x:c r="D6" s="31" t="str">
        <x:v>High</x:v>
      </x:c>
      <x:c r="E6" s="31" t="str">
        <x:v>R2</x:v>
      </x:c>
      <x:c r="F6" s="31" t="str">
        <x:v>Status/API contract confirmed</x:v>
      </x:c>
      <x:c r="G6" s="31" t="str">
        <x:v>Status rendered + actions pass</x:v>
      </x:c>
      <x:c r="H6" s="31" t="str">
        <x:v>Frontend follow-up explicitly documented</x:v>
      </x:c>
      <x:c r="I6" s="31" t="str">
        <x:v>Release acceptance</x:v>
      </x:c>
      <x:c r="J6" s="31" t="str">
        <x:v>Unassigned</x:v>
      </x:c>
      <x:c r="K6" s="31" t="str">
        <x:v>Planned</x:v>
      </x:c>
      <x:c r="L6" s="31" t="str">
        <x:v>AwaitingEmployeeNoticeOffer and cancel endpoint</x:v>
      </x:c>
    </x:row>
    <x:row r="7">
      <x:c r="A7" s="31" t="n">
        <x:v>4</x:v>
      </x:c>
      <x:c r="B7" s="31" t="str">
        <x:v>Recruitment governance</x:v>
      </x:c>
      <x:c r="C7" s="31" t="str">
        <x:v>Authorization and transition controls</x:v>
      </x:c>
      <x:c r="D7" s="31" t="str">
        <x:v>High</x:v>
      </x:c>
      <x:c r="E7" s="31" t="str">
        <x:v>R3</x:v>
      </x:c>
      <x:c r="F7" s="31" t="str">
        <x:v>Jobs.View review</x:v>
      </x:c>
      <x:c r="G7" s="31" t="str">
        <x:v>API authorization and transition tests pass</x:v>
      </x:c>
      <x:c r="H7" s="31" t="str">
        <x:v>Public upload and tenant matrix</x:v>
      </x:c>
      <x:c r="I7" s="31" t="str">
        <x:v>Workflow owner</x:v>
      </x:c>
      <x:c r="J7" s="31" t="str">
        <x:v>Unassigned</x:v>
      </x:c>
      <x:c r="K7" s="31" t="str">
        <x:v>Planned</x:v>
      </x:c>
      <x:c r="L7" s="31" t="str">
        <x:v>Source finding; runtime validation required</x:v>
      </x:c>
    </x:row>
    <x:row r="8">
      <x:c r="A8" s="31" t="n">
        <x:v>5</x:v>
      </x:c>
      <x:c r="B8" s="31" t="str">
        <x:v>Company modular onboarding</x:v>
      </x:c>
      <x:c r="C8" s="31" t="str">
        <x:v>Registration and selected product configuration</x:v>
      </x:c>
      <x:c r="D8" s="31" t="str">
        <x:v>High</x:v>
      </x:c>
      <x:c r="E8" s="31" t="str">
        <x:v>R4</x:v>
      </x:c>
      <x:c r="F8" s="31" t="str">
        <x:v>Product decisions signed</x:v>
      </x:c>
      <x:c r="G8" s="31" t="str">
        <x:v>Tenant configuration, entitlements and UI gating proven</x:v>
      </x:c>
      <x:c r="H8" s="31" t="str">
        <x:v>Licensing/configuration design</x:v>
      </x:c>
      <x:c r="I8" s="31" t="str">
        <x:v>Packaging model</x:v>
      </x:c>
      <x:c r="J8" s="31" t="str">
        <x:v>Unassigned</x:v>
      </x:c>
      <x:c r="K8" s="31" t="str">
        <x:v>Planned</x:v>
      </x:c>
      <x:c r="L8" s="31" t="str">
        <x:v>Vision sheet has detailed scope</x:v>
      </x:c>
    </x:row>
  </x:sheetData>
  <x:mergeCells>
    <x:mergeCell ref="A1:M1"/>
  </x:mergeCells>
  <x:dataValidations count="2">
    <x:dataValidation type="list" sqref="D4:D200">
      <x:formula1>'Definitions Dropdowns'!$B$4:$B$7</x:formula1>
    </x:dataValidation>
    <x:dataValidation type="list" sqref="K4:K200">
      <x:formula1>'Definitions Dropdowns'!$A$4:$A$11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01d8963ef60429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2" hidden="0" customWidth="1"/>
    <x:col min="3" max="3" width="34" hidden="0" customWidth="1"/>
    <x:col min="4" max="4" width="36" hidden="0" customWidth="1"/>
    <x:col min="5" max="5" width="22" hidden="0" customWidth="1"/>
    <x:col min="6" max="6" width="32" hidden="0" customWidth="1"/>
    <x:col min="7" max="7" width="34" hidden="0" customWidth="1"/>
    <x:col min="8" max="8" width="28" hidden="0" customWidth="1"/>
    <x:col min="9" max="9" width="12" hidden="0" customWidth="1"/>
    <x:col min="10" max="10" width="15" hidden="0" customWidth="1"/>
    <x:col min="11" max="11" width="27" hidden="0" customWidth="1"/>
    <x:col min="12" max="12" width="28" hidden="0" customWidth="1"/>
    <x:col min="13" max="13" width="36" hidden="0" customWidth="1"/>
    <x:col min="14" max="14" width="16" hidden="0" customWidth="1"/>
  </x:cols>
  <x:sheetData>
    <x:row r="1" ht="30" customHeight="1">
      <x:c r="A1" s="30" t="str">
        <x:v>Future Vision &amp; Product Ideas — editable product backlog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  <x:c r="N1" s="31"/>
    </x:row>
    <x:row r="2">
      <x:c r="A2" s="31"/>
      <x:c r="B2" s="31"/>
      <x:c r="C2" s="31"/>
      <x:c r="D2" s="31"/>
      <x:c r="E2" s="31"/>
      <x:c r="F2" s="31"/>
      <x:c r="G2" s="31"/>
      <x:c r="H2" s="31"/>
      <x:c r="I2" s="31"/>
      <x:c r="J2" s="31"/>
      <x:c r="K2" s="31"/>
      <x:c r="L2" s="31"/>
      <x:c r="M2" s="31"/>
      <x:c r="N2" s="31"/>
    </x:row>
    <x:row r="3">
      <x:c r="A3" s="36" t="str">
        <x:v>Vision ID</x:v>
      </x:c>
      <x:c r="B3" s="36" t="str">
        <x:v>Theme</x:v>
      </x:c>
      <x:c r="C3" s="36" t="str">
        <x:v>Idea / Opportunity</x:v>
      </x:c>
      <x:c r="D3" s="36" t="str">
        <x:v>Problem / Customer Value</x:v>
      </x:c>
      <x:c r="E3" s="36" t="str">
        <x:v>Target Segment</x:v>
      </x:c>
      <x:c r="F3" s="36" t="str">
        <x:v>Hypothesis</x:v>
      </x:c>
      <x:c r="G3" s="36" t="str">
        <x:v>Scope / MVP</x:v>
      </x:c>
      <x:c r="H3" s="36" t="str">
        <x:v>Success Metric</x:v>
      </x:c>
      <x:c r="I3" s="36" t="str">
        <x:v>Priority</x:v>
      </x:c>
      <x:c r="J3" s="36" t="str">
        <x:v>Status</x:v>
      </x:c>
      <x:c r="K3" s="36" t="str">
        <x:v>Dependencies</x:v>
      </x:c>
      <x:c r="L3" s="36" t="str">
        <x:v>Risks / Assumptions</x:v>
      </x:c>
      <x:c r="M3" s="36" t="str">
        <x:v>Decision / Next Experiment</x:v>
      </x:c>
      <x:c r="N3" s="36" t="str">
        <x:v>Owner</x:v>
      </x:c>
    </x:row>
    <x:row r="4">
      <x:c r="A4" s="31" t="str">
        <x:v>FV-001</x:v>
      </x:c>
      <x:c r="B4" s="31" t="str">
        <x:v>Modular HRMS</x:v>
      </x:c>
      <x:c r="C4" s="31" t="str">
        <x:v>Let each company select paid/needed modules and features</x:v>
      </x:c>
      <x:c r="D4" s="31" t="str">
        <x:v>Avoid one-size-fits-all HRMS; support small and large companies</x:v>
      </x:c>
      <x:c r="E4" s="31" t="str">
        <x:v>SMB, mid-market, enterprise</x:v>
      </x:c>
      <x:c r="F4" s="31" t="str">
        <x:v>Configuration improves activation and product fit</x:v>
      </x:c>
      <x:c r="G4" s="31" t="str">
        <x:v>Entitlements + module catalog + tenant UI/API gates</x:v>
      </x:c>
      <x:c r="H4" s="31" t="str">
        <x:v>Activation, adoption per module, support tickets</x:v>
      </x:c>
      <x:c r="I4" s="31" t="str">
        <x:v>High</x:v>
      </x:c>
      <x:c r="J4" s="31" t="str">
        <x:v>Planned</x:v>
      </x:c>
      <x:c r="K4" s="31" t="str">
        <x:v>Tenant entitlements, billing decision</x:v>
      </x:c>
      <x:c r="L4" s="31" t="str">
        <x:v>Complexity / accidental access</x:v>
      </x:c>
      <x:c r="M4" s="31" t="str">
        <x:v>Define module catalog and entitlement data model</x:v>
      </x:c>
      <x:c r="N4" s="31" t="str">
        <x:v>Unassigned</x:v>
      </x:c>
    </x:row>
    <x:row r="5">
      <x:c r="A5" s="31" t="str">
        <x:v>FV-002</x:v>
      </x:c>
      <x:c r="B5" s="31" t="str">
        <x:v>Guided onboarding</x:v>
      </x:c>
      <x:c r="C5" s="31" t="str">
        <x:v>Company registration followed by modal onboarding stepper</x:v>
      </x:c>
      <x:c r="D5" s="31" t="str">
        <x:v>Shorten time-to-value and ensure key setup is complete</x:v>
      </x:c>
      <x:c r="E5" s="31" t="str">
        <x:v>New tenant admins</x:v>
      </x:c>
      <x:c r="F5" s="31" t="str">
        <x:v>Guided setup improves first-week activation</x:v>
      </x:c>
      <x:c r="G5" s="31" t="str">
        <x:v>Registration, company profile, module selection, role setup, checklist</x:v>
      </x:c>
      <x:c r="H5" s="31" t="str">
        <x:v>Time to configured workspace, completion rate</x:v>
      </x:c>
      <x:c r="I5" s="31" t="str">
        <x:v>High</x:v>
      </x:c>
      <x:c r="J5" s="31" t="str">
        <x:v>Planned</x:v>
      </x:c>
      <x:c r="K5" s="31" t="str">
        <x:v>Onboarding state model</x:v>
      </x:c>
      <x:c r="L5" s="31" t="str">
        <x:v>Incomplete configuration / abandonment</x:v>
      </x:c>
      <x:c r="M5" s="31" t="str">
        <x:v>Prototype stepper and test with 3 company sizes</x:v>
      </x:c>
      <x:c r="N5" s="31" t="str">
        <x:v>Unassigned</x:v>
      </x:c>
    </x:row>
    <x:row r="6">
      <x:c r="A6" s="31" t="str">
        <x:v>FV-003</x:v>
      </x:c>
      <x:c r="B6" s="31" t="str">
        <x:v>Configurable experience</x:v>
      </x:c>
      <x:c r="C6" s="31" t="str">
        <x:v>Adapt navigation, dashboard widgets and forms to selected functionality</x:v>
      </x:c>
      <x:c r="D6" s="31" t="str">
        <x:v>Keep UI relevant without hiding necessary controls</x:v>
      </x:c>
      <x:c r="E6" s="31" t="str">
        <x:v>All tenants</x:v>
      </x:c>
      <x:c r="F6" s="31" t="str">
        <x:v>Entitlements + configuration improve usability</x:v>
      </x:c>
      <x:c r="G6" s="31" t="str">
        <x:v>Navigation/menu guards, dashboard layout presets, settings</x:v>
      </x:c>
      <x:c r="H6" s="31" t="str">
        <x:v>Feature discovery, admin satisfaction</x:v>
      </x:c>
      <x:c r="I6" s="31" t="str">
        <x:v>High</x:v>
      </x:c>
      <x:c r="J6" s="31" t="str">
        <x:v>Planned</x:v>
      </x:c>
      <x:c r="K6" s="31" t="str">
        <x:v>Frontend composition and server guards</x:v>
      </x:c>
      <x:c r="L6" s="31" t="str">
        <x:v>Client-only hiding would be insecure</x:v>
      </x:c>
      <x:c r="M6" s="31" t="str">
        <x:v>Design server-enforced entitlement contract</x:v>
      </x:c>
      <x:c r="N6" s="31" t="str">
        <x:v>Unassigned</x:v>
      </x:c>
    </x:row>
    <x:row r="7">
      <x:c r="A7" s="31" t="str">
        <x:v>FV-004</x:v>
      </x:c>
      <x:c r="B7" s="31" t="str">
        <x:v>Operational assurance</x:v>
      </x:c>
      <x:c r="C7" s="31" t="str">
        <x:v>Transaction/saga/outbox for cross-document HR workflows</x:v>
      </x:c>
      <x:c r="D7" s="31" t="str">
        <x:v>Prevent partial approvals/processes under failure</x:v>
      </x:c>
      <x:c r="E7" s="31" t="str">
        <x:v>All tenants</x:v>
      </x:c>
      <x:c r="F7" s="31" t="str">
        <x:v>Durable orchestration reduces HR/payroll risk</x:v>
      </x:c>
      <x:c r="G7" s="31" t="str">
        <x:v>Start with leave-to-attendance and payroll</x:v>
      </x:c>
      <x:c r="H7" s="31" t="str">
        <x:v>Failed workflow recovery time, incidents</x:v>
      </x:c>
      <x:c r="I7" s="31" t="str">
        <x:v>Critical</x:v>
      </x:c>
      <x:c r="J7" s="31" t="str">
        <x:v>Planned</x:v>
      </x:c>
      <x:c r="K7" s="31" t="str">
        <x:v>Mongo transaction or outbox approach</x:v>
      </x:c>
      <x:c r="L7" s="31" t="str">
        <x:v>Migration complexity</x:v>
      </x:c>
      <x:c r="M7" s="31" t="str">
        <x:v>Architecture decision record and spike</x:v>
      </x:c>
      <x:c r="N7" s="31" t="str">
        <x:v>Unassigned</x:v>
      </x:c>
    </x:row>
  </x:sheetData>
  <x:mergeCells>
    <x:mergeCell ref="A1:N1"/>
  </x:mergeCells>
  <x:pageMargins left="0.7" right="0.7" top="0.75" bottom="0.75" header="0.3" footer="0.3"/>
  <x:tableParts count="1">
    <x:tablePart xmlns:r="http://schemas.openxmlformats.org/officeDocument/2006/relationships" r:id="Rbda102a37362413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2" hidden="0" customWidth="1"/>
    <x:col min="3" max="3" width="34" hidden="0" customWidth="1"/>
    <x:col min="4" max="4" width="38" hidden="0" customWidth="1"/>
    <x:col min="5" max="5" width="30" hidden="0" customWidth="1"/>
    <x:col min="6" max="6" width="25" hidden="0" customWidth="1"/>
    <x:col min="7" max="7" width="32" hidden="0" customWidth="1"/>
    <x:col min="8" max="8" width="28" hidden="0" customWidth="1"/>
    <x:col min="9" max="9" width="15" hidden="0" customWidth="1"/>
    <x:col min="10" max="10" width="12" hidden="0" customWidth="1"/>
    <x:col min="11" max="11" width="34" hidden="0" customWidth="1"/>
  </x:cols>
  <x:sheetData>
    <x:row r="1" ht="30" customHeight="1">
      <x:c r="A1" s="30" t="str">
        <x:v>Company Modular Onboarding — product vision blueprint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</x:row>
    <x:row r="2">
      <x:c r="A2" s="31"/>
      <x:c r="B2" s="31"/>
      <x:c r="C2" s="31"/>
      <x:c r="D2" s="31"/>
      <x:c r="E2" s="31"/>
      <x:c r="F2" s="31"/>
      <x:c r="G2" s="31"/>
      <x:c r="H2" s="31"/>
      <x:c r="I2" s="31"/>
      <x:c r="J2" s="31"/>
      <x:c r="K2" s="31"/>
    </x:row>
    <x:row r="3">
      <x:c r="A3" s="36" t="str">
        <x:v>Step</x:v>
      </x:c>
      <x:c r="B3" s="36" t="str">
        <x:v>Journey Stage</x:v>
      </x:c>
      <x:c r="C3" s="36" t="str">
        <x:v>User Experience</x:v>
      </x:c>
      <x:c r="D3" s="36" t="str">
        <x:v>System / Data Requirement</x:v>
      </x:c>
      <x:c r="E3" s="36" t="str">
        <x:v>Security / Permissions</x:v>
      </x:c>
      <x:c r="F3" s="36" t="str">
        <x:v>Small Company Default</x:v>
      </x:c>
      <x:c r="G3" s="36" t="str">
        <x:v>Large Company / Enterprise Option</x:v>
      </x:c>
      <x:c r="H3" s="36" t="str">
        <x:v>Definition of Done</x:v>
      </x:c>
      <x:c r="I3" s="36" t="str">
        <x:v>Status</x:v>
      </x:c>
      <x:c r="J3" s="36" t="str">
        <x:v>Priority</x:v>
      </x:c>
      <x:c r="K3" s="36" t="str">
        <x:v>Open Question</x:v>
      </x:c>
    </x:row>
    <x:row r="4">
      <x:c r="A4" s="31" t="n">
        <x:v>1</x:v>
      </x:c>
      <x:c r="B4" s="31" t="str">
        <x:v>Company registration</x:v>
      </x:c>
      <x:c r="C4" s="31" t="str">
        <x:v>Company creates account and verifies contact</x:v>
      </x:c>
      <x:c r="D4" s="31" t="str">
        <x:v>Company + tenant provisioning record; registration state</x:v>
      </x:c>
      <x:c r="E4" s="31" t="str">
        <x:v>Rate limit, verification, tenant isolation</x:v>
      </x:c>
      <x:c r="F4" s="31" t="str">
        <x:v>Essential company profile</x:v>
      </x:c>
      <x:c r="G4" s="31" t="str">
        <x:v>SSO/domain verification / approval</x:v>
      </x:c>
      <x:c r="H4" s="31" t="str">
        <x:v>Tenant provisioned safely</x:v>
      </x:c>
      <x:c r="I4" s="31" t="str">
        <x:v>Planned</x:v>
      </x:c>
      <x:c r="J4" s="31" t="str">
        <x:v>Critical</x:v>
      </x:c>
      <x:c r="K4" s="31" t="str">
        <x:v>Who can approve enterprise tenants?</x:v>
      </x:c>
    </x:row>
    <x:row r="5">
      <x:c r="A5" s="31" t="n">
        <x:v>2</x:v>
      </x:c>
      <x:c r="B5" s="31" t="str">
        <x:v>Welcome modal stepper</x:v>
      </x:c>
      <x:c r="C5" s="31" t="str">
        <x:v>Admin sees guided modal after registration</x:v>
      </x:c>
      <x:c r="D5" s="31" t="str">
        <x:v>Persistent onboarding progress and resumable steps</x:v>
      </x:c>
      <x:c r="E5" s="31" t="str">
        <x:v>Only tenant admin can configure</x:v>
      </x:c>
      <x:c r="F5" s="31" t="str">
        <x:v>3–5 essential steps</x:v>
      </x:c>
      <x:c r="G5" s="31" t="str">
        <x:v>Expanded setup with delegated admins</x:v>
      </x:c>
      <x:c r="H5" s="31" t="str">
        <x:v>Resume works across sessions</x:v>
      </x:c>
      <x:c r="I5" s="31" t="str">
        <x:v>Planned</x:v>
      </x:c>
      <x:c r="J5" s="31" t="str">
        <x:v>High</x:v>
      </x:c>
      <x:c r="K5" s="31" t="str">
        <x:v>Can the stepper be dismissed?</x:v>
      </x:c>
    </x:row>
    <x:row r="6">
      <x:c r="A6" s="31" t="n">
        <x:v>3</x:v>
      </x:c>
      <x:c r="B6" s="31" t="str">
        <x:v>Module selection</x:v>
      </x:c>
      <x:c r="C6" s="31" t="str">
        <x:v>Admin selects modules/features appropriate to business</x:v>
      </x:c>
      <x:c r="D6" s="31" t="str">
        <x:v>Module catalog, entitlement and selected-feature records</x:v>
      </x:c>
      <x:c r="E6" s="31" t="str">
        <x:v>Server authorization based on entitlements</x:v>
      </x:c>
      <x:c r="F6" s="31" t="str">
        <x:v>Core HR: employees, leave, attendance</x:v>
      </x:c>
      <x:c r="G6" s="31" t="str">
        <x:v>Payroll, recruitment, offboarding, careers, integrations</x:v>
      </x:c>
      <x:c r="H6" s="31" t="str">
        <x:v>Selections saved and auditable</x:v>
      </x:c>
      <x:c r="I6" s="31" t="str">
        <x:v>Planned</x:v>
      </x:c>
      <x:c r="J6" s="31" t="str">
        <x:v>High</x:v>
      </x:c>
      <x:c r="K6" s="31" t="str">
        <x:v>Commercial packaging / trial rules?</x:v>
      </x:c>
    </x:row>
    <x:row r="7">
      <x:c r="A7" s="31" t="n">
        <x:v>4</x:v>
      </x:c>
      <x:c r="B7" s="31" t="str">
        <x:v>Feature configuration</x:v>
      </x:c>
      <x:c r="C7" s="31" t="str">
        <x:v>Choose policy/form depth, roles, workflows</x:v>
      </x:c>
      <x:c r="D7" s="31" t="str">
        <x:v>Tenant configuration versioning</x:v>
      </x:c>
      <x:c r="E7" s="31" t="str">
        <x:v>Role-scoped configuration controls</x:v>
      </x:c>
      <x:c r="F7" s="31" t="str">
        <x:v>Opinionated defaults</x:v>
      </x:c>
      <x:c r="G7" s="31" t="str">
        <x:v>Advanced policy templates and approval chains</x:v>
      </x:c>
      <x:c r="H7" s="31" t="str">
        <x:v>Config validated and versioned</x:v>
      </x:c>
      <x:c r="I7" s="31" t="str">
        <x:v>Planned</x:v>
      </x:c>
      <x:c r="J7" s="31" t="str">
        <x:v>High</x:v>
      </x:c>
      <x:c r="K7" s="31" t="str">
        <x:v>Which settings are immutable after go-live?</x:v>
      </x:c>
    </x:row>
    <x:row r="8">
      <x:c r="A8" s="31" t="n">
        <x:v>5</x:v>
      </x:c>
      <x:c r="B8" s="31" t="str">
        <x:v>UI personalization</x:v>
      </x:c>
      <x:c r="C8" s="31" t="str">
        <x:v>Only relevant nav, dashboard cards and actions appear</x:v>
      </x:c>
      <x:c r="D8" s="31" t="str">
        <x:v>Server-driven UI capability map</x:v>
      </x:c>
      <x:c r="E8" s="31" t="str">
        <x:v>Server must deny disabled feature APIs</x:v>
      </x:c>
      <x:c r="F8" s="31" t="str">
        <x:v>Simplified navigation</x:v>
      </x:c>
      <x:c r="G8" s="31" t="str">
        <x:v>Department/role-specific workspace</x:v>
      </x:c>
      <x:c r="H8" s="31" t="str">
        <x:v>UI and API both honor capability map</x:v>
      </x:c>
      <x:c r="I8" s="31" t="str">
        <x:v>Planned</x:v>
      </x:c>
      <x:c r="J8" s="31" t="str">
        <x:v>High</x:v>
      </x:c>
      <x:c r="K8" s="31" t="str">
        <x:v>How are shared dependencies surfaced?</x:v>
      </x:c>
    </x:row>
    <x:row r="9">
      <x:c r="A9" s="31" t="n">
        <x:v>6</x:v>
      </x:c>
      <x:c r="B9" s="31" t="str">
        <x:v>Go-live checklist</x:v>
      </x:c>
      <x:c r="C9" s="31" t="str">
        <x:v>Stepper confirms setup, sample data and readiness</x:v>
      </x:c>
      <x:c r="D9" s="31" t="str">
        <x:v>Checklist evidence / audit log</x:v>
      </x:c>
      <x:c r="E9" s="31" t="str">
        <x:v>Admin attestation, audit trail</x:v>
      </x:c>
      <x:c r="F9" s="31" t="str">
        <x:v>Basic readiness checks</x:v>
      </x:c>
      <x:c r="G9" s="31" t="str">
        <x:v>Integration and security readiness pack</x:v>
      </x:c>
      <x:c r="H9" s="31" t="str">
        <x:v>Readiness state recorded</x:v>
      </x:c>
      <x:c r="I9" s="31" t="str">
        <x:v>Planned</x:v>
      </x:c>
      <x:c r="J9" s="31" t="str">
        <x:v>Medium</x:v>
      </x:c>
      <x:c r="K9" s="31" t="str">
        <x:v>What blocks go-live?</x:v>
      </x:c>
    </x:row>
    <x:row r="10">
      <x:c r="A10" s="31" t="n">
        <x:v>7</x:v>
      </x:c>
      <x:c r="B10" s="31" t="str">
        <x:v>Ongoing change</x:v>
      </x:c>
      <x:c r="C10" s="31" t="str">
        <x:v>Admin can add modules/features later</x:v>
      </x:c>
      <x:c r="D10" s="31" t="str">
        <x:v>Change request / effective dates / migration</x:v>
      </x:c>
      <x:c r="E10" s="31" t="str">
        <x:v>Approval and audit for high-risk changes</x:v>
      </x:c>
      <x:c r="F10" s="31" t="str">
        <x:v>Self-service add-ons</x:v>
      </x:c>
      <x:c r="G10" s="31" t="str">
        <x:v>Contract/CSM approval workflow</x:v>
      </x:c>
      <x:c r="H10" s="31" t="str">
        <x:v>Changes are reversible/auditable</x:v>
      </x:c>
      <x:c r="I10" s="31" t="str">
        <x:v>Planned</x:v>
      </x:c>
      <x:c r="J10" s="31" t="str">
        <x:v>Medium</x:v>
      </x:c>
      <x:c r="K10" s="31" t="str">
        <x:v>Billing and data migration policy?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327ae3e160f2457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22" hidden="0" customWidth="1"/>
    <x:col min="4" max="4" width="42" hidden="0" customWidth="1"/>
    <x:col min="5" max="5" width="28" hidden="0" customWidth="1"/>
    <x:col min="6" max="6" width="12" hidden="0" customWidth="1"/>
    <x:col min="7" max="7" width="14" hidden="0" customWidth="1"/>
    <x:col min="8" max="8" width="34" hidden="0" customWidth="1"/>
    <x:col min="9" max="9" width="28" hidden="0" customWidth="1"/>
    <x:col min="10" max="10" width="40" hidden="0" customWidth="1"/>
    <x:col min="11" max="11" width="16" hidden="0" customWidth="1"/>
    <x:col min="12" max="12" width="14" hidden="0" customWidth="1"/>
    <x:col min="13" max="13" width="14" hidden="0" customWidth="1"/>
    <x:col min="14" max="14" width="12" hidden="0" customWidth="1"/>
  </x:cols>
  <x:sheetData>
    <x:row r="1" ht="30" customHeight="1">
      <x:c r="A1" s="30" t="str">
        <x:v>Bugs, Technical Debt &amp; Dependencies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  <x:c r="N1" s="31"/>
    </x:row>
    <x:row r="2">
      <x:c r="A2" s="31"/>
      <x:c r="B2" s="31"/>
      <x:c r="C2" s="31"/>
      <x:c r="D2" s="31"/>
      <x:c r="E2" s="31"/>
      <x:c r="F2" s="31"/>
      <x:c r="G2" s="31"/>
      <x:c r="H2" s="31"/>
      <x:c r="I2" s="31"/>
      <x:c r="J2" s="31"/>
      <x:c r="K2" s="31"/>
      <x:c r="L2" s="31"/>
      <x:c r="M2" s="31"/>
      <x:c r="N2" s="31"/>
    </x:row>
    <x:row r="3">
      <x:c r="A3" s="36" t="str">
        <x:v>ID</x:v>
      </x:c>
      <x:c r="B3" s="36" t="str">
        <x:v>Type</x:v>
      </x:c>
      <x:c r="C3" s="36" t="str">
        <x:v>Area</x:v>
      </x:c>
      <x:c r="D3" s="36" t="str">
        <x:v>Finding / Debt</x:v>
      </x:c>
      <x:c r="E3" s="36" t="str">
        <x:v>Impact</x:v>
      </x:c>
      <x:c r="F3" s="36" t="str">
        <x:v>Severity</x:v>
      </x:c>
      <x:c r="G3" s="36" t="str">
        <x:v>Status</x:v>
      </x:c>
      <x:c r="H3" s="36" t="str">
        <x:v>Evidence / Source</x:v>
      </x:c>
      <x:c r="I3" s="36" t="str">
        <x:v>Verification</x:v>
      </x:c>
      <x:c r="J3" s="36" t="str">
        <x:v>Mitigation / Next Action</x:v>
      </x:c>
      <x:c r="K3" s="36" t="str">
        <x:v>Owner</x:v>
      </x:c>
      <x:c r="L3" s="36" t="str">
        <x:v>Target Date</x:v>
      </x:c>
      <x:c r="M3" s="36" t="str">
        <x:v>Release</x:v>
      </x:c>
      <x:c r="N3" s="36" t="str">
        <x:v>Blocker?</x:v>
      </x:c>
    </x:row>
    <x:row r="4">
      <x:c r="A4" s="31" t="str">
        <x:v>TD-001</x:v>
      </x:c>
      <x:c r="B4" s="31" t="str">
        <x:v>Technical Debt</x:v>
      </x:c>
      <x:c r="C4" s="31" t="str">
        <x:v>Leave / Attendance</x:v>
      </x:c>
      <x:c r="D4" s="31" t="str">
        <x:v>Multi-document workflow lacks demonstrated transaction/session atomicity</x:v>
      </x:c>
      <x:c r="E4" s="31" t="str">
        <x:v>Partial updates under failure</x:v>
      </x:c>
      <x:c r="F4" s="31" t="str">
        <x:v>Critical</x:v>
      </x:c>
      <x:c r="G4" s="31" t="str">
        <x:v>Open</x:v>
      </x:c>
      <x:c r="H4" s="31" t="str">
        <x:v>Memory-backed leave/attendance/payroll audit</x:v>
      </x:c>
      <x:c r="I4" s="31" t="str">
        <x:v>Documented - Not Runtime Verified</x:v>
      </x:c>
      <x:c r="J4" s="31" t="str">
        <x:v>Choose transaction/saga/outbox; integration test failure recovery</x:v>
      </x:c>
      <x:c r="K4" s="31" t="str">
        <x:v>Unassigned</x:v>
      </x:c>
      <x:c r="L4" s="39"/>
      <x:c r="M4" s="31" t="str">
        <x:v>R2</x:v>
      </x:c>
      <x:c r="N4" s="31" t="str">
        <x:v>Yes</x:v>
      </x:c>
    </x:row>
    <x:row r="5">
      <x:c r="A5" s="31" t="str">
        <x:v>TD-002</x:v>
      </x:c>
      <x:c r="B5" s="31" t="str">
        <x:v>Test Gap</x:v>
      </x:c>
      <x:c r="C5" s="31" t="str">
        <x:v>Payroll</x:v>
      </x:c>
      <x:c r="D5" s="31" t="str">
        <x:v>Concurrent generation/process/edit race not executed</x:v>
      </x:c>
      <x:c r="E5" s="31" t="str">
        <x:v>Incorrect payroll state</x:v>
      </x:c>
      <x:c r="F5" s="31" t="str">
        <x:v>Critical</x:v>
      </x:c>
      <x:c r="G5" s="31" t="str">
        <x:v>Open</x:v>
      </x:c>
      <x:c r="H5" s="31" t="str">
        <x:v>backend doc.md</x:v>
      </x:c>
      <x:c r="I5" s="31" t="str">
        <x:v>Documented - Not Runtime Verified</x:v>
      </x:c>
      <x:c r="J5" s="31" t="str">
        <x:v>Run isolated concurrency scenario</x:v>
      </x:c>
      <x:c r="K5" s="31" t="str">
        <x:v>Unassigned</x:v>
      </x:c>
      <x:c r="L5" s="39"/>
      <x:c r="M5" s="31" t="str">
        <x:v>R2</x:v>
      </x:c>
      <x:c r="N5" s="31" t="str">
        <x:v>Yes</x:v>
      </x:c>
    </x:row>
    <x:row r="6">
      <x:c r="A6" s="31" t="str">
        <x:v>BUG-001</x:v>
      </x:c>
      <x:c r="B6" s="31" t="str">
        <x:v>Source Finding</x:v>
      </x:c>
      <x:c r="C6" s="31" t="str">
        <x:v>Authentication</x:v>
      </x:c>
      <x:c r="D6" s="31" t="str">
        <x:v>Refresh token 401 can deadlock queued requests</x:v>
      </x:c>
      <x:c r="E6" s="31" t="str">
        <x:v>Users can be stuck signed out</x:v>
      </x:c>
      <x:c r="F6" s="31" t="str">
        <x:v>High</x:v>
      </x:c>
      <x:c r="G6" s="31" t="str">
        <x:v>Open</x:v>
      </x:c>
      <x:c r="H6" s="31" t="str">
        <x:v>backend doc.md; memory QA audit</x:v>
      </x:c>
      <x:c r="I6" s="31" t="str">
        <x:v>Documented - Not Runtime Verified</x:v>
      </x:c>
      <x:c r="J6" s="31" t="str">
        <x:v>Reproduce, patch, add regression test</x:v>
      </x:c>
      <x:c r="K6" s="31" t="str">
        <x:v>Unassigned</x:v>
      </x:c>
      <x:c r="L6" s="39"/>
      <x:c r="M6" s="31" t="str">
        <x:v>R1</x:v>
      </x:c>
      <x:c r="N6" s="31" t="str">
        <x:v>Yes</x:v>
      </x:c>
    </x:row>
    <x:row r="7">
      <x:c r="A7" s="31" t="str">
        <x:v>BUG-002</x:v>
      </x:c>
      <x:c r="B7" s="31" t="str">
        <x:v>Source Finding</x:v>
      </x:c>
      <x:c r="C7" s="31" t="str">
        <x:v>Recruitment</x:v>
      </x:c>
      <x:c r="D7" s="31" t="str">
        <x:v>GetVacancyById lacks Jobs.View authorization (source audit)</x:v>
      </x:c>
      <x:c r="E7" s="31" t="str">
        <x:v>Unauthorized job access</x:v>
      </x:c>
      <x:c r="F7" s="31" t="str">
        <x:v>High</x:v>
      </x:c>
      <x:c r="G7" s="31" t="str">
        <x:v>Open</x:v>
      </x:c>
      <x:c r="H7" s="31" t="str">
        <x:v>memory QA audit</x:v>
      </x:c>
      <x:c r="I7" s="31" t="str">
        <x:v>Documented - Not Runtime Verified</x:v>
      </x:c>
      <x:c r="J7" s="31" t="str">
        <x:v>Add authorization and test role matrix</x:v>
      </x:c>
      <x:c r="K7" s="31" t="str">
        <x:v>Unassigned</x:v>
      </x:c>
      <x:c r="L7" s="39"/>
      <x:c r="M7" s="31" t="str">
        <x:v>R3</x:v>
      </x:c>
      <x:c r="N7" s="31" t="str">
        <x:v>Yes</x:v>
      </x:c>
    </x:row>
    <x:row r="8">
      <x:c r="A8" s="31" t="str">
        <x:v>TD-003</x:v>
      </x:c>
      <x:c r="B8" s="31" t="str">
        <x:v>Test Gap</x:v>
      </x:c>
      <x:c r="C8" s="31" t="str">
        <x:v>Tenant isolation</x:v>
      </x:c>
      <x:c r="D8" s="31" t="str">
        <x:v>Cross-company employee/profile IDOR test needs isolated DB</x:v>
      </x:c>
      <x:c r="E8" s="31" t="str">
        <x:v>Data isolation proof gap</x:v>
      </x:c>
      <x:c r="F8" s="31" t="str">
        <x:v>Critical</x:v>
      </x:c>
      <x:c r="G8" s="31" t="str">
        <x:v>Open</x:v>
      </x:c>
      <x:c r="H8" s="31" t="str">
        <x:v>backend doc.md</x:v>
      </x:c>
      <x:c r="I8" s="31" t="str">
        <x:v>Documented - Not Runtime Verified</x:v>
      </x:c>
      <x:c r="J8" s="31" t="str">
        <x:v>Run two-company E2E matrix</x:v>
      </x:c>
      <x:c r="K8" s="31" t="str">
        <x:v>Unassigned</x:v>
      </x:c>
      <x:c r="L8" s="39"/>
      <x:c r="M8" s="31" t="str">
        <x:v>R1</x:v>
      </x:c>
      <x:c r="N8" s="31" t="str">
        <x:v>Yes</x:v>
      </x:c>
    </x:row>
    <x:row r="9">
      <x:c r="A9" s="31" t="str">
        <x:v>TD-004</x:v>
      </x:c>
      <x:c r="B9" s="31" t="str">
        <x:v>Delivery Gap</x:v>
      </x:c>
      <x:c r="C9" s="31" t="str">
        <x:v>Offboarding</x:v>
      </x:c>
      <x:c r="D9" s="31" t="str">
        <x:v>New status/UI and cancel endpoint require frontend wiring verification</x:v>
      </x:c>
      <x:c r="E9" s="31" t="str">
        <x:v>Workflow inaccessible or inconsistent</x:v>
      </x:c>
      <x:c r="F9" s="31" t="str">
        <x:v>High</x:v>
      </x:c>
      <x:c r="G9" s="31" t="str">
        <x:v>Open</x:v>
      </x:c>
      <x:c r="H9" s="31" t="str">
        <x:v>README_OFFBOARDING_FIXES.md</x:v>
      </x:c>
      <x:c r="I9" s="31" t="str">
        <x:v>Documented - Not Runtime Verified</x:v>
      </x:c>
      <x:c r="J9" s="31" t="str">
        <x:v>Verify contract and implement regression coverage</x:v>
      </x:c>
      <x:c r="K9" s="31" t="str">
        <x:v>Unassigned</x:v>
      </x:c>
      <x:c r="L9" s="39"/>
      <x:c r="M9" s="31" t="str">
        <x:v>R2</x:v>
      </x:c>
      <x:c r="N9" s="31" t="str">
        <x:v>Yes</x:v>
      </x:c>
    </x:row>
    <x:row r="10">
      <x:c r="A10" s="31" t="str">
        <x:v>TD-005</x:v>
      </x:c>
      <x:c r="B10" s="31" t="str">
        <x:v>Architecture</x:v>
      </x:c>
      <x:c r="C10" s="31" t="str">
        <x:v>Modular onboarding</x:v>
      </x:c>
      <x:c r="D10" s="31" t="str">
        <x:v>No entitlement/configuration model yet</x:v>
      </x:c>
      <x:c r="E10" s="31" t="str">
        <x:v>Cannot safely tailor functionality by company</x:v>
      </x:c>
      <x:c r="F10" s="31" t="str">
        <x:v>High</x:v>
      </x:c>
      <x:c r="G10" s="31" t="str">
        <x:v>Open</x:v>
      </x:c>
      <x:c r="H10" s="31" t="str">
        <x:v>Product vision request</x:v>
      </x:c>
      <x:c r="I10" s="31" t="str">
        <x:v>Unknown / Needs Verification</x:v>
      </x:c>
      <x:c r="J10" s="31" t="str">
        <x:v>Create ADR and configuration model spike</x:v>
      </x:c>
      <x:c r="K10" s="31" t="str">
        <x:v>Unassigned</x:v>
      </x:c>
      <x:c r="L10" s="39"/>
      <x:c r="M10" s="31" t="str">
        <x:v>R4</x:v>
      </x:c>
      <x:c r="N10" s="31" t="str">
        <x:v>No</x:v>
      </x:c>
    </x:row>
    <x:row r="11">
      <x:c r="A11" s="31"/>
      <x:c r="B11" s="31"/>
      <x:c r="C11" s="31"/>
      <x:c r="D11" s="31"/>
      <x:c r="E11" s="31"/>
      <x:c r="F11" s="31"/>
      <x:c r="G11" s="31"/>
      <x:c r="H11" s="31"/>
      <x:c r="I11" s="31"/>
      <x:c r="J11" s="31"/>
      <x:c r="K11" s="31"/>
      <x:c r="L11" s="39"/>
      <x:c r="M11" s="31"/>
      <x:c r="N11" s="31"/>
    </x:row>
    <x:row r="12">
      <x:c r="A12" s="31"/>
      <x:c r="B12" s="31"/>
      <x:c r="C12" s="31"/>
      <x:c r="D12" s="31"/>
      <x:c r="E12" s="31"/>
      <x:c r="F12" s="31"/>
      <x:c r="G12" s="31"/>
      <x:c r="H12" s="31"/>
      <x:c r="I12" s="31"/>
      <x:c r="J12" s="31"/>
      <x:c r="K12" s="31"/>
      <x:c r="L12" s="39"/>
      <x:c r="M12" s="31"/>
      <x:c r="N12" s="31"/>
    </x:row>
    <x:row r="13">
      <x:c r="A13" s="31"/>
      <x:c r="B13" s="31"/>
      <x:c r="C13" s="31"/>
      <x:c r="D13" s="31"/>
      <x:c r="E13" s="31"/>
      <x:c r="F13" s="31"/>
      <x:c r="G13" s="31"/>
      <x:c r="H13" s="31"/>
      <x:c r="I13" s="31"/>
      <x:c r="J13" s="31"/>
      <x:c r="K13" s="31"/>
      <x:c r="L13" s="39"/>
      <x:c r="M13" s="31"/>
      <x:c r="N13" s="31"/>
    </x:row>
    <x:row r="14">
      <x:c r="A14" s="31"/>
      <x:c r="B14" s="31"/>
      <x:c r="C14" s="31"/>
      <x:c r="D14" s="31"/>
      <x:c r="E14" s="31"/>
      <x:c r="F14" s="31"/>
      <x:c r="G14" s="31"/>
      <x:c r="H14" s="31"/>
      <x:c r="I14" s="31"/>
      <x:c r="J14" s="31"/>
      <x:c r="K14" s="31"/>
      <x:c r="L14" s="39"/>
      <x:c r="M14" s="31"/>
      <x:c r="N14" s="31"/>
    </x:row>
    <x:row r="15">
      <x:c r="A15" s="31"/>
      <x:c r="B15" s="31"/>
      <x:c r="C15" s="31"/>
      <x:c r="D15" s="31"/>
      <x:c r="E15" s="31"/>
      <x:c r="F15" s="31"/>
      <x:c r="G15" s="31"/>
      <x:c r="H15" s="31"/>
      <x:c r="I15" s="31"/>
      <x:c r="J15" s="31"/>
      <x:c r="K15" s="31"/>
      <x:c r="L15" s="39"/>
      <x:c r="M15" s="31"/>
      <x:c r="N15" s="31"/>
    </x:row>
    <x:row r="16">
      <x:c r="A16" s="31"/>
      <x:c r="B16" s="31"/>
      <x:c r="C16" s="31"/>
      <x:c r="D16" s="31"/>
      <x:c r="E16" s="31"/>
      <x:c r="F16" s="31"/>
      <x:c r="G16" s="31"/>
      <x:c r="H16" s="31"/>
      <x:c r="I16" s="31"/>
      <x:c r="J16" s="31"/>
      <x:c r="K16" s="31"/>
      <x:c r="L16" s="39"/>
      <x:c r="M16" s="31"/>
      <x:c r="N16" s="31"/>
    </x:row>
    <x:row r="17">
      <x:c r="A17" s="31"/>
      <x:c r="B17" s="31"/>
      <x:c r="C17" s="31"/>
      <x:c r="D17" s="31"/>
      <x:c r="E17" s="31"/>
      <x:c r="F17" s="31"/>
      <x:c r="G17" s="31"/>
      <x:c r="H17" s="31"/>
      <x:c r="I17" s="31"/>
      <x:c r="J17" s="31"/>
      <x:c r="K17" s="31"/>
      <x:c r="L17" s="39"/>
      <x:c r="M17" s="31"/>
      <x:c r="N17" s="31"/>
    </x:row>
    <x:row r="18">
      <x:c r="A18" s="31"/>
      <x:c r="B18" s="31"/>
      <x:c r="C18" s="31"/>
      <x:c r="D18" s="31"/>
      <x:c r="E18" s="31"/>
      <x:c r="F18" s="31"/>
      <x:c r="G18" s="31"/>
      <x:c r="H18" s="31"/>
      <x:c r="I18" s="31"/>
      <x:c r="J18" s="31"/>
      <x:c r="K18" s="31"/>
      <x:c r="L18" s="39"/>
      <x:c r="M18" s="31"/>
      <x:c r="N18" s="31"/>
    </x:row>
    <x:row r="19">
      <x:c r="A19" s="31"/>
      <x:c r="B19" s="31"/>
      <x:c r="C19" s="31"/>
      <x:c r="D19" s="31"/>
      <x:c r="E19" s="31"/>
      <x:c r="F19" s="31"/>
      <x:c r="G19" s="31"/>
      <x:c r="H19" s="31"/>
      <x:c r="I19" s="31"/>
      <x:c r="J19" s="31"/>
      <x:c r="K19" s="31"/>
      <x:c r="L19" s="39"/>
      <x:c r="M19" s="31"/>
      <x:c r="N19" s="31"/>
    </x:row>
    <x:row r="20">
      <x:c r="A20" s="31"/>
      <x:c r="B20" s="31"/>
      <x:c r="C20" s="31"/>
      <x:c r="D20" s="31"/>
      <x:c r="E20" s="31"/>
      <x:c r="F20" s="31"/>
      <x:c r="G20" s="31"/>
      <x:c r="H20" s="31"/>
      <x:c r="I20" s="31"/>
      <x:c r="J20" s="31"/>
      <x:c r="K20" s="31"/>
      <x:c r="L20" s="39"/>
      <x:c r="M20" s="31"/>
      <x:c r="N20" s="31"/>
    </x:row>
    <x:row r="21">
      <x:c r="A21" s="31"/>
      <x:c r="B21" s="31"/>
      <x:c r="C21" s="31"/>
      <x:c r="D21" s="31"/>
      <x:c r="E21" s="31"/>
      <x:c r="F21" s="31"/>
      <x:c r="G21" s="31"/>
      <x:c r="H21" s="31"/>
      <x:c r="I21" s="31"/>
      <x:c r="J21" s="31"/>
      <x:c r="K21" s="31"/>
      <x:c r="L21" s="39"/>
      <x:c r="M21" s="31"/>
      <x:c r="N21" s="31"/>
    </x:row>
    <x:row r="22">
      <x:c r="A22" s="31"/>
      <x:c r="B22" s="31"/>
      <x:c r="C22" s="31"/>
      <x:c r="D22" s="31"/>
      <x:c r="E22" s="31"/>
      <x:c r="F22" s="31"/>
      <x:c r="G22" s="31"/>
      <x:c r="H22" s="31"/>
      <x:c r="I22" s="31"/>
      <x:c r="J22" s="31"/>
      <x:c r="K22" s="31"/>
      <x:c r="L22" s="39"/>
      <x:c r="M22" s="31"/>
      <x:c r="N22" s="31"/>
    </x:row>
    <x:row r="23">
      <x:c r="A23" s="31"/>
      <x:c r="B23" s="31"/>
      <x:c r="C23" s="31"/>
      <x:c r="D23" s="31"/>
      <x:c r="E23" s="31"/>
      <x:c r="F23" s="31"/>
      <x:c r="G23" s="31"/>
      <x:c r="H23" s="31"/>
      <x:c r="I23" s="31"/>
      <x:c r="J23" s="31"/>
      <x:c r="K23" s="31"/>
      <x:c r="L23" s="39"/>
      <x:c r="M23" s="31"/>
      <x:c r="N23" s="31"/>
    </x:row>
    <x:row r="24">
      <x:c r="A24" s="31"/>
      <x:c r="B24" s="31"/>
      <x:c r="C24" s="31"/>
      <x:c r="D24" s="31"/>
      <x:c r="E24" s="31"/>
      <x:c r="F24" s="31"/>
      <x:c r="G24" s="31"/>
      <x:c r="H24" s="31"/>
      <x:c r="I24" s="31"/>
      <x:c r="J24" s="31"/>
      <x:c r="K24" s="31"/>
      <x:c r="L24" s="39"/>
      <x:c r="M24" s="31"/>
      <x:c r="N24" s="31"/>
    </x:row>
    <x:row r="25">
      <x:c r="A25" s="31"/>
      <x:c r="B25" s="31"/>
      <x:c r="C25" s="31"/>
      <x:c r="D25" s="31"/>
      <x:c r="E25" s="31"/>
      <x:c r="F25" s="31"/>
      <x:c r="G25" s="31"/>
      <x:c r="H25" s="31"/>
      <x:c r="I25" s="31"/>
      <x:c r="J25" s="31"/>
      <x:c r="K25" s="31"/>
      <x:c r="L25" s="39"/>
      <x:c r="M25" s="31"/>
      <x:c r="N25" s="31"/>
    </x:row>
    <x:row r="26">
      <x:c r="A26" s="31"/>
      <x:c r="B26" s="31"/>
      <x:c r="C26" s="31"/>
      <x:c r="D26" s="31"/>
      <x:c r="E26" s="31"/>
      <x:c r="F26" s="31"/>
      <x:c r="G26" s="31"/>
      <x:c r="H26" s="31"/>
      <x:c r="I26" s="31"/>
      <x:c r="J26" s="31"/>
      <x:c r="K26" s="31"/>
      <x:c r="L26" s="39"/>
      <x:c r="M26" s="31"/>
      <x:c r="N26" s="31"/>
    </x:row>
    <x:row r="27">
      <x:c r="A27" s="31"/>
      <x:c r="B27" s="31"/>
      <x:c r="C27" s="31"/>
      <x:c r="D27" s="31"/>
      <x:c r="E27" s="31"/>
      <x:c r="F27" s="31"/>
      <x:c r="G27" s="31"/>
      <x:c r="H27" s="31"/>
      <x:c r="I27" s="31"/>
      <x:c r="J27" s="31"/>
      <x:c r="K27" s="31"/>
      <x:c r="L27" s="39"/>
      <x:c r="M27" s="31"/>
      <x:c r="N27" s="31"/>
    </x:row>
    <x:row r="28">
      <x:c r="A28" s="31"/>
      <x:c r="B28" s="31"/>
      <x:c r="C28" s="31"/>
      <x:c r="D28" s="31"/>
      <x:c r="E28" s="31"/>
      <x:c r="F28" s="31"/>
      <x:c r="G28" s="31"/>
      <x:c r="H28" s="31"/>
      <x:c r="I28" s="31"/>
      <x:c r="J28" s="31"/>
      <x:c r="K28" s="31"/>
      <x:c r="L28" s="39"/>
      <x:c r="M28" s="31"/>
      <x:c r="N28" s="31"/>
    </x:row>
    <x:row r="29">
      <x:c r="A29" s="31"/>
      <x:c r="B29" s="31"/>
      <x:c r="C29" s="31"/>
      <x:c r="D29" s="31"/>
      <x:c r="E29" s="31"/>
      <x:c r="F29" s="31"/>
      <x:c r="G29" s="31"/>
      <x:c r="H29" s="31"/>
      <x:c r="I29" s="31"/>
      <x:c r="J29" s="31"/>
      <x:c r="K29" s="31"/>
      <x:c r="L29" s="39"/>
      <x:c r="M29" s="31"/>
      <x:c r="N29" s="31"/>
    </x:row>
    <x:row r="30">
      <x:c r="A30" s="31"/>
      <x:c r="B30" s="31"/>
      <x:c r="C30" s="31"/>
      <x:c r="D30" s="31"/>
      <x:c r="E30" s="31"/>
      <x:c r="F30" s="31"/>
      <x:c r="G30" s="31"/>
      <x:c r="H30" s="31"/>
      <x:c r="I30" s="31"/>
      <x:c r="J30" s="31"/>
      <x:c r="K30" s="31"/>
      <x:c r="L30" s="39"/>
      <x:c r="M30" s="31"/>
      <x:c r="N30" s="31"/>
    </x:row>
    <x:row r="31">
      <x:c r="A31" s="31"/>
      <x:c r="B31" s="31"/>
      <x:c r="C31" s="31"/>
      <x:c r="D31" s="31"/>
      <x:c r="E31" s="31"/>
      <x:c r="F31" s="31"/>
      <x:c r="G31" s="31"/>
      <x:c r="H31" s="31"/>
      <x:c r="I31" s="31"/>
      <x:c r="J31" s="31"/>
      <x:c r="K31" s="31"/>
      <x:c r="L31" s="39"/>
      <x:c r="M31" s="31"/>
      <x:c r="N31" s="31"/>
    </x:row>
    <x:row r="32">
      <x:c r="A32" s="31"/>
      <x:c r="B32" s="31"/>
      <x:c r="C32" s="31"/>
      <x:c r="D32" s="31"/>
      <x:c r="E32" s="31"/>
      <x:c r="F32" s="31"/>
      <x:c r="G32" s="31"/>
      <x:c r="H32" s="31"/>
      <x:c r="I32" s="31"/>
      <x:c r="J32" s="31"/>
      <x:c r="K32" s="31"/>
      <x:c r="L32" s="39"/>
      <x:c r="M32" s="31"/>
      <x:c r="N32" s="31"/>
    </x:row>
    <x:row r="33">
      <x:c r="A33" s="31"/>
      <x:c r="B33" s="31"/>
      <x:c r="C33" s="31"/>
      <x:c r="D33" s="31"/>
      <x:c r="E33" s="31"/>
      <x:c r="F33" s="31"/>
      <x:c r="G33" s="31"/>
      <x:c r="H33" s="31"/>
      <x:c r="I33" s="31"/>
      <x:c r="J33" s="31"/>
      <x:c r="K33" s="31"/>
      <x:c r="L33" s="39"/>
      <x:c r="M33" s="31"/>
      <x:c r="N33" s="31"/>
    </x:row>
    <x:row r="34">
      <x:c r="A34" s="31"/>
      <x:c r="B34" s="31"/>
      <x:c r="C34" s="31"/>
      <x:c r="D34" s="31"/>
      <x:c r="E34" s="31"/>
      <x:c r="F34" s="31"/>
      <x:c r="G34" s="31"/>
      <x:c r="H34" s="31"/>
      <x:c r="I34" s="31"/>
      <x:c r="J34" s="31"/>
      <x:c r="K34" s="31"/>
      <x:c r="L34" s="39"/>
      <x:c r="M34" s="31"/>
      <x:c r="N34" s="31"/>
    </x:row>
    <x:row r="35">
      <x:c r="A35" s="31"/>
      <x:c r="B35" s="31"/>
      <x:c r="C35" s="31"/>
      <x:c r="D35" s="31"/>
      <x:c r="E35" s="31"/>
      <x:c r="F35" s="31"/>
      <x:c r="G35" s="31"/>
      <x:c r="H35" s="31"/>
      <x:c r="I35" s="31"/>
      <x:c r="J35" s="31"/>
      <x:c r="K35" s="31"/>
      <x:c r="L35" s="39"/>
      <x:c r="M35" s="31"/>
      <x:c r="N35" s="31"/>
    </x:row>
    <x:row r="36">
      <x:c r="A36" s="31"/>
      <x:c r="B36" s="31"/>
      <x:c r="C36" s="31"/>
      <x:c r="D36" s="31"/>
      <x:c r="E36" s="31"/>
      <x:c r="F36" s="31"/>
      <x:c r="G36" s="31"/>
      <x:c r="H36" s="31"/>
      <x:c r="I36" s="31"/>
      <x:c r="J36" s="31"/>
      <x:c r="K36" s="31"/>
      <x:c r="L36" s="39"/>
      <x:c r="M36" s="31"/>
      <x:c r="N36" s="31"/>
    </x:row>
    <x:row r="37">
      <x:c r="A37" s="31"/>
      <x:c r="B37" s="31"/>
      <x:c r="C37" s="31"/>
      <x:c r="D37" s="31"/>
      <x:c r="E37" s="31"/>
      <x:c r="F37" s="31"/>
      <x:c r="G37" s="31"/>
      <x:c r="H37" s="31"/>
      <x:c r="I37" s="31"/>
      <x:c r="J37" s="31"/>
      <x:c r="K37" s="31"/>
      <x:c r="L37" s="39"/>
      <x:c r="M37" s="31"/>
      <x:c r="N37" s="31"/>
    </x:row>
    <x:row r="38">
      <x:c r="A38" s="31"/>
      <x:c r="B38" s="31"/>
      <x:c r="C38" s="31"/>
      <x:c r="D38" s="31"/>
      <x:c r="E38" s="31"/>
      <x:c r="F38" s="31"/>
      <x:c r="G38" s="31"/>
      <x:c r="H38" s="31"/>
      <x:c r="I38" s="31"/>
      <x:c r="J38" s="31"/>
      <x:c r="K38" s="31"/>
      <x:c r="L38" s="39"/>
      <x:c r="M38" s="31"/>
      <x:c r="N38" s="31"/>
    </x:row>
    <x:row r="39">
      <x:c r="A39" s="31"/>
      <x:c r="B39" s="31"/>
      <x:c r="C39" s="31"/>
      <x:c r="D39" s="31"/>
      <x:c r="E39" s="31"/>
      <x:c r="F39" s="31"/>
      <x:c r="G39" s="31"/>
      <x:c r="H39" s="31"/>
      <x:c r="I39" s="31"/>
      <x:c r="J39" s="31"/>
      <x:c r="K39" s="31"/>
      <x:c r="L39" s="39"/>
      <x:c r="M39" s="31"/>
      <x:c r="N39" s="31"/>
    </x:row>
    <x:row r="40">
      <x:c r="A40" s="31"/>
      <x:c r="B40" s="31"/>
      <x:c r="C40" s="31"/>
      <x:c r="D40" s="31"/>
      <x:c r="E40" s="31"/>
      <x:c r="F40" s="31"/>
      <x:c r="G40" s="31"/>
      <x:c r="H40" s="31"/>
      <x:c r="I40" s="31"/>
      <x:c r="J40" s="31"/>
      <x:c r="K40" s="31"/>
      <x:c r="L40" s="39"/>
      <x:c r="M40" s="31"/>
      <x:c r="N40" s="31"/>
    </x:row>
    <x:row r="41">
      <x:c r="A41" s="31"/>
      <x:c r="B41" s="31"/>
      <x:c r="C41" s="31"/>
      <x:c r="D41" s="31"/>
      <x:c r="E41" s="31"/>
      <x:c r="F41" s="31"/>
      <x:c r="G41" s="31"/>
      <x:c r="H41" s="31"/>
      <x:c r="I41" s="31"/>
      <x:c r="J41" s="31"/>
      <x:c r="K41" s="31"/>
      <x:c r="L41" s="39"/>
      <x:c r="M41" s="31"/>
      <x:c r="N41" s="31"/>
    </x:row>
    <x:row r="42">
      <x:c r="A42" s="31"/>
      <x:c r="B42" s="31"/>
      <x:c r="C42" s="31"/>
      <x:c r="D42" s="31"/>
      <x:c r="E42" s="31"/>
      <x:c r="F42" s="31"/>
      <x:c r="G42" s="31"/>
      <x:c r="H42" s="31"/>
      <x:c r="I42" s="31"/>
      <x:c r="J42" s="31"/>
      <x:c r="K42" s="31"/>
      <x:c r="L42" s="39"/>
      <x:c r="M42" s="31"/>
      <x:c r="N42" s="31"/>
    </x:row>
    <x:row r="43">
      <x:c r="A43" s="31"/>
      <x:c r="B43" s="31"/>
      <x:c r="C43" s="31"/>
      <x:c r="D43" s="31"/>
      <x:c r="E43" s="31"/>
      <x:c r="F43" s="31"/>
      <x:c r="G43" s="31"/>
      <x:c r="H43" s="31"/>
      <x:c r="I43" s="31"/>
      <x:c r="J43" s="31"/>
      <x:c r="K43" s="31"/>
      <x:c r="L43" s="39"/>
      <x:c r="M43" s="31"/>
      <x:c r="N43" s="31"/>
    </x:row>
    <x:row r="44">
      <x:c r="A44" s="31"/>
      <x:c r="B44" s="31"/>
      <x:c r="C44" s="31"/>
      <x:c r="D44" s="31"/>
      <x:c r="E44" s="31"/>
      <x:c r="F44" s="31"/>
      <x:c r="G44" s="31"/>
      <x:c r="H44" s="31"/>
      <x:c r="I44" s="31"/>
      <x:c r="J44" s="31"/>
      <x:c r="K44" s="31"/>
      <x:c r="L44" s="39"/>
      <x:c r="M44" s="31"/>
      <x:c r="N44" s="31"/>
    </x:row>
    <x:row r="45">
      <x:c r="A45" s="31"/>
      <x:c r="B45" s="31"/>
      <x:c r="C45" s="31"/>
      <x:c r="D45" s="31"/>
      <x:c r="E45" s="31"/>
      <x:c r="F45" s="31"/>
      <x:c r="G45" s="31"/>
      <x:c r="H45" s="31"/>
      <x:c r="I45" s="31"/>
      <x:c r="J45" s="31"/>
      <x:c r="K45" s="31"/>
      <x:c r="L45" s="39"/>
      <x:c r="M45" s="31"/>
      <x:c r="N45" s="31"/>
    </x:row>
    <x:row r="46">
      <x:c r="A46" s="31"/>
      <x:c r="B46" s="31"/>
      <x:c r="C46" s="31"/>
      <x:c r="D46" s="31"/>
      <x:c r="E46" s="31"/>
      <x:c r="F46" s="31"/>
      <x:c r="G46" s="31"/>
      <x:c r="H46" s="31"/>
      <x:c r="I46" s="31"/>
      <x:c r="J46" s="31"/>
      <x:c r="K46" s="31"/>
      <x:c r="L46" s="39"/>
      <x:c r="M46" s="31"/>
      <x:c r="N46" s="31"/>
    </x:row>
    <x:row r="47">
      <x:c r="A47" s="31"/>
      <x:c r="B47" s="31"/>
      <x:c r="C47" s="31"/>
      <x:c r="D47" s="31"/>
      <x:c r="E47" s="31"/>
      <x:c r="F47" s="31"/>
      <x:c r="G47" s="31"/>
      <x:c r="H47" s="31"/>
      <x:c r="I47" s="31"/>
      <x:c r="J47" s="31"/>
      <x:c r="K47" s="31"/>
      <x:c r="L47" s="39"/>
      <x:c r="M47" s="31"/>
      <x:c r="N47" s="31"/>
    </x:row>
    <x:row r="48">
      <x:c r="A48" s="31"/>
      <x:c r="B48" s="31"/>
      <x:c r="C48" s="31"/>
      <x:c r="D48" s="31"/>
      <x:c r="E48" s="31"/>
      <x:c r="F48" s="31"/>
      <x:c r="G48" s="31"/>
      <x:c r="H48" s="31"/>
      <x:c r="I48" s="31"/>
      <x:c r="J48" s="31"/>
      <x:c r="K48" s="31"/>
      <x:c r="L48" s="39"/>
      <x:c r="M48" s="31"/>
      <x:c r="N48" s="31"/>
    </x:row>
    <x:row r="49">
      <x:c r="A49" s="31"/>
      <x:c r="B49" s="31"/>
      <x:c r="C49" s="31"/>
      <x:c r="D49" s="31"/>
      <x:c r="E49" s="31"/>
      <x:c r="F49" s="31"/>
      <x:c r="G49" s="31"/>
      <x:c r="H49" s="31"/>
      <x:c r="I49" s="31"/>
      <x:c r="J49" s="31"/>
      <x:c r="K49" s="31"/>
      <x:c r="L49" s="39"/>
      <x:c r="M49" s="31"/>
      <x:c r="N49" s="31"/>
    </x:row>
    <x:row r="50">
      <x:c r="A50" s="31"/>
      <x:c r="B50" s="31"/>
      <x:c r="C50" s="31"/>
      <x:c r="D50" s="31"/>
      <x:c r="E50" s="31"/>
      <x:c r="F50" s="31"/>
      <x:c r="G50" s="31"/>
      <x:c r="H50" s="31"/>
      <x:c r="I50" s="31"/>
      <x:c r="J50" s="31"/>
      <x:c r="K50" s="31"/>
      <x:c r="L50" s="39"/>
      <x:c r="M50" s="31"/>
      <x:c r="N50" s="31"/>
    </x:row>
    <x:row r="51">
      <x:c r="A51" s="31"/>
      <x:c r="B51" s="31"/>
      <x:c r="C51" s="31"/>
      <x:c r="D51" s="31"/>
      <x:c r="E51" s="31"/>
      <x:c r="F51" s="31"/>
      <x:c r="G51" s="31"/>
      <x:c r="H51" s="31"/>
      <x:c r="I51" s="31"/>
      <x:c r="J51" s="31"/>
      <x:c r="K51" s="31"/>
      <x:c r="L51" s="39"/>
      <x:c r="M51" s="31"/>
      <x:c r="N51" s="31"/>
    </x:row>
    <x:row r="52">
      <x:c r="A52" s="31"/>
      <x:c r="B52" s="31"/>
      <x:c r="C52" s="31"/>
      <x:c r="D52" s="31"/>
      <x:c r="E52" s="31"/>
      <x:c r="F52" s="31"/>
      <x:c r="G52" s="31"/>
      <x:c r="H52" s="31"/>
      <x:c r="I52" s="31"/>
      <x:c r="J52" s="31"/>
      <x:c r="K52" s="31"/>
      <x:c r="L52" s="39"/>
      <x:c r="M52" s="31"/>
      <x:c r="N52" s="31"/>
    </x:row>
    <x:row r="53">
      <x:c r="A53" s="31"/>
      <x:c r="B53" s="31"/>
      <x:c r="C53" s="31"/>
      <x:c r="D53" s="31"/>
      <x:c r="E53" s="31"/>
      <x:c r="F53" s="31"/>
      <x:c r="G53" s="31"/>
      <x:c r="H53" s="31"/>
      <x:c r="I53" s="31"/>
      <x:c r="J53" s="31"/>
      <x:c r="K53" s="31"/>
      <x:c r="L53" s="39"/>
      <x:c r="M53" s="31"/>
      <x:c r="N53" s="31"/>
    </x:row>
    <x:row r="54">
      <x:c r="A54" s="31"/>
      <x:c r="B54" s="31"/>
      <x:c r="C54" s="31"/>
      <x:c r="D54" s="31"/>
      <x:c r="E54" s="31"/>
      <x:c r="F54" s="31"/>
      <x:c r="G54" s="31"/>
      <x:c r="H54" s="31"/>
      <x:c r="I54" s="31"/>
      <x:c r="J54" s="31"/>
      <x:c r="K54" s="31"/>
      <x:c r="L54" s="39"/>
      <x:c r="M54" s="31"/>
      <x:c r="N54" s="31"/>
    </x:row>
    <x:row r="55">
      <x:c r="A55" s="31"/>
      <x:c r="B55" s="31"/>
      <x:c r="C55" s="31"/>
      <x:c r="D55" s="31"/>
      <x:c r="E55" s="31"/>
      <x:c r="F55" s="31"/>
      <x:c r="G55" s="31"/>
      <x:c r="H55" s="31"/>
      <x:c r="I55" s="31"/>
      <x:c r="J55" s="31"/>
      <x:c r="K55" s="31"/>
      <x:c r="L55" s="39"/>
      <x:c r="M55" s="31"/>
      <x:c r="N55" s="31"/>
    </x:row>
    <x:row r="56">
      <x:c r="A56" s="31"/>
      <x:c r="B56" s="31"/>
      <x:c r="C56" s="31"/>
      <x:c r="D56" s="31"/>
      <x:c r="E56" s="31"/>
      <x:c r="F56" s="31"/>
      <x:c r="G56" s="31"/>
      <x:c r="H56" s="31"/>
      <x:c r="I56" s="31"/>
      <x:c r="J56" s="31"/>
      <x:c r="K56" s="31"/>
      <x:c r="L56" s="39"/>
      <x:c r="M56" s="31"/>
      <x:c r="N56" s="31"/>
    </x:row>
    <x:row r="57">
      <x:c r="A57" s="31"/>
      <x:c r="B57" s="31"/>
      <x:c r="C57" s="31"/>
      <x:c r="D57" s="31"/>
      <x:c r="E57" s="31"/>
      <x:c r="F57" s="31"/>
      <x:c r="G57" s="31"/>
      <x:c r="H57" s="31"/>
      <x:c r="I57" s="31"/>
      <x:c r="J57" s="31"/>
      <x:c r="K57" s="31"/>
      <x:c r="L57" s="39"/>
      <x:c r="M57" s="31"/>
      <x:c r="N57" s="31"/>
    </x:row>
    <x:row r="58">
      <x:c r="A58" s="31"/>
      <x:c r="B58" s="31"/>
      <x:c r="C58" s="31"/>
      <x:c r="D58" s="31"/>
      <x:c r="E58" s="31"/>
      <x:c r="F58" s="31"/>
      <x:c r="G58" s="31"/>
      <x:c r="H58" s="31"/>
      <x:c r="I58" s="31"/>
      <x:c r="J58" s="31"/>
      <x:c r="K58" s="31"/>
      <x:c r="L58" s="39"/>
      <x:c r="M58" s="31"/>
      <x:c r="N58" s="31"/>
    </x:row>
    <x:row r="59">
      <x:c r="A59" s="31"/>
      <x:c r="B59" s="31"/>
      <x:c r="C59" s="31"/>
      <x:c r="D59" s="31"/>
      <x:c r="E59" s="31"/>
      <x:c r="F59" s="31"/>
      <x:c r="G59" s="31"/>
      <x:c r="H59" s="31"/>
      <x:c r="I59" s="31"/>
      <x:c r="J59" s="31"/>
      <x:c r="K59" s="31"/>
      <x:c r="L59" s="39"/>
      <x:c r="M59" s="31"/>
      <x:c r="N59" s="31"/>
    </x:row>
    <x:row r="60">
      <x:c r="A60" s="31"/>
      <x:c r="B60" s="31"/>
      <x:c r="C60" s="31"/>
      <x:c r="D60" s="31"/>
      <x:c r="E60" s="31"/>
      <x:c r="F60" s="31"/>
      <x:c r="G60" s="31"/>
      <x:c r="H60" s="31"/>
      <x:c r="I60" s="31"/>
      <x:c r="J60" s="31"/>
      <x:c r="K60" s="31"/>
      <x:c r="L60" s="39"/>
      <x:c r="M60" s="31"/>
      <x:c r="N60" s="31"/>
    </x:row>
    <x:row r="61">
      <x:c r="A61" s="31"/>
      <x:c r="B61" s="31"/>
      <x:c r="C61" s="31"/>
      <x:c r="D61" s="31"/>
      <x:c r="E61" s="31"/>
      <x:c r="F61" s="31"/>
      <x:c r="G61" s="31"/>
      <x:c r="H61" s="31"/>
      <x:c r="I61" s="31"/>
      <x:c r="J61" s="31"/>
      <x:c r="K61" s="31"/>
      <x:c r="L61" s="39"/>
      <x:c r="M61" s="31"/>
      <x:c r="N61" s="31"/>
    </x:row>
    <x:row r="62">
      <x:c r="A62" s="31"/>
      <x:c r="B62" s="31"/>
      <x:c r="C62" s="31"/>
      <x:c r="D62" s="31"/>
      <x:c r="E62" s="31"/>
      <x:c r="F62" s="31"/>
      <x:c r="G62" s="31"/>
      <x:c r="H62" s="31"/>
      <x:c r="I62" s="31"/>
      <x:c r="J62" s="31"/>
      <x:c r="K62" s="31"/>
      <x:c r="L62" s="39"/>
      <x:c r="M62" s="31"/>
      <x:c r="N62" s="31"/>
    </x:row>
    <x:row r="63">
      <x:c r="A63" s="31"/>
      <x:c r="B63" s="31"/>
      <x:c r="C63" s="31"/>
      <x:c r="D63" s="31"/>
      <x:c r="E63" s="31"/>
      <x:c r="F63" s="31"/>
      <x:c r="G63" s="31"/>
      <x:c r="H63" s="31"/>
      <x:c r="I63" s="31"/>
      <x:c r="J63" s="31"/>
      <x:c r="K63" s="31"/>
      <x:c r="L63" s="39"/>
      <x:c r="M63" s="31"/>
      <x:c r="N63" s="31"/>
    </x:row>
    <x:row r="64">
      <x:c r="A64" s="31"/>
      <x:c r="B64" s="31"/>
      <x:c r="C64" s="31"/>
      <x:c r="D64" s="31"/>
      <x:c r="E64" s="31"/>
      <x:c r="F64" s="31"/>
      <x:c r="G64" s="31"/>
      <x:c r="H64" s="31"/>
      <x:c r="I64" s="31"/>
      <x:c r="J64" s="31"/>
      <x:c r="K64" s="31"/>
      <x:c r="L64" s="39"/>
      <x:c r="M64" s="31"/>
      <x:c r="N64" s="31"/>
    </x:row>
    <x:row r="65">
      <x:c r="A65" s="31"/>
      <x:c r="B65" s="31"/>
      <x:c r="C65" s="31"/>
      <x:c r="D65" s="31"/>
      <x:c r="E65" s="31"/>
      <x:c r="F65" s="31"/>
      <x:c r="G65" s="31"/>
      <x:c r="H65" s="31"/>
      <x:c r="I65" s="31"/>
      <x:c r="J65" s="31"/>
      <x:c r="K65" s="31"/>
      <x:c r="L65" s="39"/>
      <x:c r="M65" s="31"/>
      <x:c r="N65" s="31"/>
    </x:row>
    <x:row r="66">
      <x:c r="A66" s="31"/>
      <x:c r="B66" s="31"/>
      <x:c r="C66" s="31"/>
      <x:c r="D66" s="31"/>
      <x:c r="E66" s="31"/>
      <x:c r="F66" s="31"/>
      <x:c r="G66" s="31"/>
      <x:c r="H66" s="31"/>
      <x:c r="I66" s="31"/>
      <x:c r="J66" s="31"/>
      <x:c r="K66" s="31"/>
      <x:c r="L66" s="39"/>
      <x:c r="M66" s="31"/>
      <x:c r="N66" s="31"/>
    </x:row>
    <x:row r="67">
      <x:c r="A67" s="31"/>
      <x:c r="B67" s="31"/>
      <x:c r="C67" s="31"/>
      <x:c r="D67" s="31"/>
      <x:c r="E67" s="31"/>
      <x:c r="F67" s="31"/>
      <x:c r="G67" s="31"/>
      <x:c r="H67" s="31"/>
      <x:c r="I67" s="31"/>
      <x:c r="J67" s="31"/>
      <x:c r="K67" s="31"/>
      <x:c r="L67" s="39"/>
      <x:c r="M67" s="31"/>
      <x:c r="N67" s="31"/>
    </x:row>
    <x:row r="68">
      <x:c r="A68" s="31"/>
      <x:c r="B68" s="31"/>
      <x:c r="C68" s="31"/>
      <x:c r="D68" s="31"/>
      <x:c r="E68" s="31"/>
      <x:c r="F68" s="31"/>
      <x:c r="G68" s="31"/>
      <x:c r="H68" s="31"/>
      <x:c r="I68" s="31"/>
      <x:c r="J68" s="31"/>
      <x:c r="K68" s="31"/>
      <x:c r="L68" s="39"/>
      <x:c r="M68" s="31"/>
      <x:c r="N68" s="31"/>
    </x:row>
    <x:row r="69">
      <x:c r="A69" s="31"/>
      <x:c r="B69" s="31"/>
      <x:c r="C69" s="31"/>
      <x:c r="D69" s="31"/>
      <x:c r="E69" s="31"/>
      <x:c r="F69" s="31"/>
      <x:c r="G69" s="31"/>
      <x:c r="H69" s="31"/>
      <x:c r="I69" s="31"/>
      <x:c r="J69" s="31"/>
      <x:c r="K69" s="31"/>
      <x:c r="L69" s="39"/>
      <x:c r="M69" s="31"/>
      <x:c r="N69" s="31"/>
    </x:row>
    <x:row r="70">
      <x:c r="A70" s="31"/>
      <x:c r="B70" s="31"/>
      <x:c r="C70" s="31"/>
      <x:c r="D70" s="31"/>
      <x:c r="E70" s="31"/>
      <x:c r="F70" s="31"/>
      <x:c r="G70" s="31"/>
      <x:c r="H70" s="31"/>
      <x:c r="I70" s="31"/>
      <x:c r="J70" s="31"/>
      <x:c r="K70" s="31"/>
      <x:c r="L70" s="39"/>
      <x:c r="M70" s="31"/>
      <x:c r="N70" s="31"/>
    </x:row>
    <x:row r="71">
      <x:c r="A71" s="31"/>
      <x:c r="B71" s="31"/>
      <x:c r="C71" s="31"/>
      <x:c r="D71" s="31"/>
      <x:c r="E71" s="31"/>
      <x:c r="F71" s="31"/>
      <x:c r="G71" s="31"/>
      <x:c r="H71" s="31"/>
      <x:c r="I71" s="31"/>
      <x:c r="J71" s="31"/>
      <x:c r="K71" s="31"/>
      <x:c r="L71" s="39"/>
      <x:c r="M71" s="31"/>
      <x:c r="N71" s="31"/>
    </x:row>
    <x:row r="72">
      <x:c r="A72" s="31"/>
      <x:c r="B72" s="31"/>
      <x:c r="C72" s="31"/>
      <x:c r="D72" s="31"/>
      <x:c r="E72" s="31"/>
      <x:c r="F72" s="31"/>
      <x:c r="G72" s="31"/>
      <x:c r="H72" s="31"/>
      <x:c r="I72" s="31"/>
      <x:c r="J72" s="31"/>
      <x:c r="K72" s="31"/>
      <x:c r="L72" s="39"/>
      <x:c r="M72" s="31"/>
      <x:c r="N72" s="31"/>
    </x:row>
    <x:row r="73">
      <x:c r="A73" s="31"/>
      <x:c r="B73" s="31"/>
      <x:c r="C73" s="31"/>
      <x:c r="D73" s="31"/>
      <x:c r="E73" s="31"/>
      <x:c r="F73" s="31"/>
      <x:c r="G73" s="31"/>
      <x:c r="H73" s="31"/>
      <x:c r="I73" s="31"/>
      <x:c r="J73" s="31"/>
      <x:c r="K73" s="31"/>
      <x:c r="L73" s="39"/>
      <x:c r="M73" s="31"/>
      <x:c r="N73" s="31"/>
    </x:row>
    <x:row r="74">
      <x:c r="A74" s="31"/>
      <x:c r="B74" s="31"/>
      <x:c r="C74" s="31"/>
      <x:c r="D74" s="31"/>
      <x:c r="E74" s="31"/>
      <x:c r="F74" s="31"/>
      <x:c r="G74" s="31"/>
      <x:c r="H74" s="31"/>
      <x:c r="I74" s="31"/>
      <x:c r="J74" s="31"/>
      <x:c r="K74" s="31"/>
      <x:c r="L74" s="39"/>
      <x:c r="M74" s="31"/>
      <x:c r="N74" s="31"/>
    </x:row>
    <x:row r="75">
      <x:c r="A75" s="31"/>
      <x:c r="B75" s="31"/>
      <x:c r="C75" s="31"/>
      <x:c r="D75" s="31"/>
      <x:c r="E75" s="31"/>
      <x:c r="F75" s="31"/>
      <x:c r="G75" s="31"/>
      <x:c r="H75" s="31"/>
      <x:c r="I75" s="31"/>
      <x:c r="J75" s="31"/>
      <x:c r="K75" s="31"/>
      <x:c r="L75" s="39"/>
      <x:c r="M75" s="31"/>
      <x:c r="N75" s="31"/>
    </x:row>
    <x:row r="76">
      <x:c r="A76" s="31"/>
      <x:c r="B76" s="31"/>
      <x:c r="C76" s="31"/>
      <x:c r="D76" s="31"/>
      <x:c r="E76" s="31"/>
      <x:c r="F76" s="31"/>
      <x:c r="G76" s="31"/>
      <x:c r="H76" s="31"/>
      <x:c r="I76" s="31"/>
      <x:c r="J76" s="31"/>
      <x:c r="K76" s="31"/>
      <x:c r="L76" s="39"/>
      <x:c r="M76" s="31"/>
      <x:c r="N76" s="31"/>
    </x:row>
    <x:row r="77">
      <x:c r="A77" s="31"/>
      <x:c r="B77" s="31"/>
      <x:c r="C77" s="31"/>
      <x:c r="D77" s="31"/>
      <x:c r="E77" s="31"/>
      <x:c r="F77" s="31"/>
      <x:c r="G77" s="31"/>
      <x:c r="H77" s="31"/>
      <x:c r="I77" s="31"/>
      <x:c r="J77" s="31"/>
      <x:c r="K77" s="31"/>
      <x:c r="L77" s="39"/>
      <x:c r="M77" s="31"/>
      <x:c r="N77" s="31"/>
    </x:row>
    <x:row r="78">
      <x:c r="A78" s="31"/>
      <x:c r="B78" s="31"/>
      <x:c r="C78" s="31"/>
      <x:c r="D78" s="31"/>
      <x:c r="E78" s="31"/>
      <x:c r="F78" s="31"/>
      <x:c r="G78" s="31"/>
      <x:c r="H78" s="31"/>
      <x:c r="I78" s="31"/>
      <x:c r="J78" s="31"/>
      <x:c r="K78" s="31"/>
      <x:c r="L78" s="39"/>
      <x:c r="M78" s="31"/>
      <x:c r="N78" s="31"/>
    </x:row>
    <x:row r="79">
      <x:c r="A79" s="31"/>
      <x:c r="B79" s="31"/>
      <x:c r="C79" s="31"/>
      <x:c r="D79" s="31"/>
      <x:c r="E79" s="31"/>
      <x:c r="F79" s="31"/>
      <x:c r="G79" s="31"/>
      <x:c r="H79" s="31"/>
      <x:c r="I79" s="31"/>
      <x:c r="J79" s="31"/>
      <x:c r="K79" s="31"/>
      <x:c r="L79" s="39"/>
      <x:c r="M79" s="31"/>
      <x:c r="N79" s="31"/>
    </x:row>
    <x:row r="80">
      <x:c r="A80" s="31"/>
      <x:c r="B80" s="31"/>
      <x:c r="C80" s="31"/>
      <x:c r="D80" s="31"/>
      <x:c r="E80" s="31"/>
      <x:c r="F80" s="31"/>
      <x:c r="G80" s="31"/>
      <x:c r="H80" s="31"/>
      <x:c r="I80" s="31"/>
      <x:c r="J80" s="31"/>
      <x:c r="K80" s="31"/>
      <x:c r="L80" s="39"/>
      <x:c r="M80" s="31"/>
      <x:c r="N80" s="31"/>
    </x:row>
    <x:row r="81">
      <x:c r="A81" s="31"/>
      <x:c r="B81" s="31"/>
      <x:c r="C81" s="31"/>
      <x:c r="D81" s="31"/>
      <x:c r="E81" s="31"/>
      <x:c r="F81" s="31"/>
      <x:c r="G81" s="31"/>
      <x:c r="H81" s="31"/>
      <x:c r="I81" s="31"/>
      <x:c r="J81" s="31"/>
      <x:c r="K81" s="31"/>
      <x:c r="L81" s="39"/>
      <x:c r="M81" s="31"/>
      <x:c r="N81" s="31"/>
    </x:row>
    <x:row r="82">
      <x:c r="A82" s="31"/>
      <x:c r="B82" s="31"/>
      <x:c r="C82" s="31"/>
      <x:c r="D82" s="31"/>
      <x:c r="E82" s="31"/>
      <x:c r="F82" s="31"/>
      <x:c r="G82" s="31"/>
      <x:c r="H82" s="31"/>
      <x:c r="I82" s="31"/>
      <x:c r="J82" s="31"/>
      <x:c r="K82" s="31"/>
      <x:c r="L82" s="39"/>
      <x:c r="M82" s="31"/>
      <x:c r="N82" s="31"/>
    </x:row>
    <x:row r="83">
      <x:c r="A83" s="31"/>
      <x:c r="B83" s="31"/>
      <x:c r="C83" s="31"/>
      <x:c r="D83" s="31"/>
      <x:c r="E83" s="31"/>
      <x:c r="F83" s="31"/>
      <x:c r="G83" s="31"/>
      <x:c r="H83" s="31"/>
      <x:c r="I83" s="31"/>
      <x:c r="J83" s="31"/>
      <x:c r="K83" s="31"/>
      <x:c r="L83" s="39"/>
      <x:c r="M83" s="31"/>
      <x:c r="N83" s="31"/>
    </x:row>
    <x:row r="84">
      <x:c r="A84" s="31"/>
      <x:c r="B84" s="31"/>
      <x:c r="C84" s="31"/>
      <x:c r="D84" s="31"/>
      <x:c r="E84" s="31"/>
      <x:c r="F84" s="31"/>
      <x:c r="G84" s="31"/>
      <x:c r="H84" s="31"/>
      <x:c r="I84" s="31"/>
      <x:c r="J84" s="31"/>
      <x:c r="K84" s="31"/>
      <x:c r="L84" s="39"/>
      <x:c r="M84" s="31"/>
      <x:c r="N84" s="31"/>
    </x:row>
    <x:row r="85">
      <x:c r="A85" s="31"/>
      <x:c r="B85" s="31"/>
      <x:c r="C85" s="31"/>
      <x:c r="D85" s="31"/>
      <x:c r="E85" s="31"/>
      <x:c r="F85" s="31"/>
      <x:c r="G85" s="31"/>
      <x:c r="H85" s="31"/>
      <x:c r="I85" s="31"/>
      <x:c r="J85" s="31"/>
      <x:c r="K85" s="31"/>
      <x:c r="L85" s="39"/>
      <x:c r="M85" s="31"/>
      <x:c r="N85" s="31"/>
    </x:row>
    <x:row r="86">
      <x:c r="A86" s="31"/>
      <x:c r="B86" s="31"/>
      <x:c r="C86" s="31"/>
      <x:c r="D86" s="31"/>
      <x:c r="E86" s="31"/>
      <x:c r="F86" s="31"/>
      <x:c r="G86" s="31"/>
      <x:c r="H86" s="31"/>
      <x:c r="I86" s="31"/>
      <x:c r="J86" s="31"/>
      <x:c r="K86" s="31"/>
      <x:c r="L86" s="39"/>
      <x:c r="M86" s="31"/>
      <x:c r="N86" s="31"/>
    </x:row>
    <x:row r="87">
      <x:c r="A87" s="31"/>
      <x:c r="B87" s="31"/>
      <x:c r="C87" s="31"/>
      <x:c r="D87" s="31"/>
      <x:c r="E87" s="31"/>
      <x:c r="F87" s="31"/>
      <x:c r="G87" s="31"/>
      <x:c r="H87" s="31"/>
      <x:c r="I87" s="31"/>
      <x:c r="J87" s="31"/>
      <x:c r="K87" s="31"/>
      <x:c r="L87" s="39"/>
      <x:c r="M87" s="31"/>
      <x:c r="N87" s="31"/>
    </x:row>
    <x:row r="88">
      <x:c r="A88" s="31"/>
      <x:c r="B88" s="31"/>
      <x:c r="C88" s="31"/>
      <x:c r="D88" s="31"/>
      <x:c r="E88" s="31"/>
      <x:c r="F88" s="31"/>
      <x:c r="G88" s="31"/>
      <x:c r="H88" s="31"/>
      <x:c r="I88" s="31"/>
      <x:c r="J88" s="31"/>
      <x:c r="K88" s="31"/>
      <x:c r="L88" s="39"/>
      <x:c r="M88" s="31"/>
      <x:c r="N88" s="31"/>
    </x:row>
    <x:row r="89">
      <x:c r="A89" s="31"/>
      <x:c r="B89" s="31"/>
      <x:c r="C89" s="31"/>
      <x:c r="D89" s="31"/>
      <x:c r="E89" s="31"/>
      <x:c r="F89" s="31"/>
      <x:c r="G89" s="31"/>
      <x:c r="H89" s="31"/>
      <x:c r="I89" s="31"/>
      <x:c r="J89" s="31"/>
      <x:c r="K89" s="31"/>
      <x:c r="L89" s="39"/>
      <x:c r="M89" s="31"/>
      <x:c r="N89" s="31"/>
    </x:row>
    <x:row r="90">
      <x:c r="A90" s="31"/>
      <x:c r="B90" s="31"/>
      <x:c r="C90" s="31"/>
      <x:c r="D90" s="31"/>
      <x:c r="E90" s="31"/>
      <x:c r="F90" s="31"/>
      <x:c r="G90" s="31"/>
      <x:c r="H90" s="31"/>
      <x:c r="I90" s="31"/>
      <x:c r="J90" s="31"/>
      <x:c r="K90" s="31"/>
      <x:c r="L90" s="39"/>
      <x:c r="M90" s="31"/>
      <x:c r="N90" s="31"/>
    </x:row>
    <x:row r="91">
      <x:c r="A91" s="31"/>
      <x:c r="B91" s="31"/>
      <x:c r="C91" s="31"/>
      <x:c r="D91" s="31"/>
      <x:c r="E91" s="31"/>
      <x:c r="F91" s="31"/>
      <x:c r="G91" s="31"/>
      <x:c r="H91" s="31"/>
      <x:c r="I91" s="31"/>
      <x:c r="J91" s="31"/>
      <x:c r="K91" s="31"/>
      <x:c r="L91" s="39"/>
      <x:c r="M91" s="31"/>
      <x:c r="N91" s="31"/>
    </x:row>
    <x:row r="92">
      <x:c r="A92" s="31"/>
      <x:c r="B92" s="31"/>
      <x:c r="C92" s="31"/>
      <x:c r="D92" s="31"/>
      <x:c r="E92" s="31"/>
      <x:c r="F92" s="31"/>
      <x:c r="G92" s="31"/>
      <x:c r="H92" s="31"/>
      <x:c r="I92" s="31"/>
      <x:c r="J92" s="31"/>
      <x:c r="K92" s="31"/>
      <x:c r="L92" s="39"/>
      <x:c r="M92" s="31"/>
      <x:c r="N92" s="31"/>
    </x:row>
    <x:row r="93">
      <x:c r="A93" s="31"/>
      <x:c r="B93" s="31"/>
      <x:c r="C93" s="31"/>
      <x:c r="D93" s="31"/>
      <x:c r="E93" s="31"/>
      <x:c r="F93" s="31"/>
      <x:c r="G93" s="31"/>
      <x:c r="H93" s="31"/>
      <x:c r="I93" s="31"/>
      <x:c r="J93" s="31"/>
      <x:c r="K93" s="31"/>
      <x:c r="L93" s="39"/>
      <x:c r="M93" s="31"/>
      <x:c r="N93" s="31"/>
    </x:row>
    <x:row r="94">
      <x:c r="A94" s="31"/>
      <x:c r="B94" s="31"/>
      <x:c r="C94" s="31"/>
      <x:c r="D94" s="31"/>
      <x:c r="E94" s="31"/>
      <x:c r="F94" s="31"/>
      <x:c r="G94" s="31"/>
      <x:c r="H94" s="31"/>
      <x:c r="I94" s="31"/>
      <x:c r="J94" s="31"/>
      <x:c r="K94" s="31"/>
      <x:c r="L94" s="39"/>
      <x:c r="M94" s="31"/>
      <x:c r="N94" s="31"/>
    </x:row>
    <x:row r="95">
      <x:c r="A95" s="31"/>
      <x:c r="B95" s="31"/>
      <x:c r="C95" s="31"/>
      <x:c r="D95" s="31"/>
      <x:c r="E95" s="31"/>
      <x:c r="F95" s="31"/>
      <x:c r="G95" s="31"/>
      <x:c r="H95" s="31"/>
      <x:c r="I95" s="31"/>
      <x:c r="J95" s="31"/>
      <x:c r="K95" s="31"/>
      <x:c r="L95" s="39"/>
      <x:c r="M95" s="31"/>
      <x:c r="N95" s="31"/>
    </x:row>
    <x:row r="96">
      <x:c r="A96" s="31"/>
      <x:c r="B96" s="31"/>
      <x:c r="C96" s="31"/>
      <x:c r="D96" s="31"/>
      <x:c r="E96" s="31"/>
      <x:c r="F96" s="31"/>
      <x:c r="G96" s="31"/>
      <x:c r="H96" s="31"/>
      <x:c r="I96" s="31"/>
      <x:c r="J96" s="31"/>
      <x:c r="K96" s="31"/>
      <x:c r="L96" s="39"/>
      <x:c r="M96" s="31"/>
      <x:c r="N96" s="31"/>
    </x:row>
    <x:row r="97">
      <x:c r="A97" s="31"/>
      <x:c r="B97" s="31"/>
      <x:c r="C97" s="31"/>
      <x:c r="D97" s="31"/>
      <x:c r="E97" s="31"/>
      <x:c r="F97" s="31"/>
      <x:c r="G97" s="31"/>
      <x:c r="H97" s="31"/>
      <x:c r="I97" s="31"/>
      <x:c r="J97" s="31"/>
      <x:c r="K97" s="31"/>
      <x:c r="L97" s="39"/>
      <x:c r="M97" s="31"/>
      <x:c r="N97" s="31"/>
    </x:row>
    <x:row r="98">
      <x:c r="A98" s="31"/>
      <x:c r="B98" s="31"/>
      <x:c r="C98" s="31"/>
      <x:c r="D98" s="31"/>
      <x:c r="E98" s="31"/>
      <x:c r="F98" s="31"/>
      <x:c r="G98" s="31"/>
      <x:c r="H98" s="31"/>
      <x:c r="I98" s="31"/>
      <x:c r="J98" s="31"/>
      <x:c r="K98" s="31"/>
      <x:c r="L98" s="39"/>
      <x:c r="M98" s="31"/>
      <x:c r="N98" s="31"/>
    </x:row>
    <x:row r="99">
      <x:c r="A99" s="31"/>
      <x:c r="B99" s="31"/>
      <x:c r="C99" s="31"/>
      <x:c r="D99" s="31"/>
      <x:c r="E99" s="31"/>
      <x:c r="F99" s="31"/>
      <x:c r="G99" s="31"/>
      <x:c r="H99" s="31"/>
      <x:c r="I99" s="31"/>
      <x:c r="J99" s="31"/>
      <x:c r="K99" s="31"/>
      <x:c r="L99" s="39"/>
      <x:c r="M99" s="31"/>
      <x:c r="N99" s="31"/>
    </x:row>
    <x:row r="100">
      <x:c r="A100" s="31"/>
      <x:c r="B100" s="31"/>
      <x:c r="C100" s="31"/>
      <x:c r="D100" s="31"/>
      <x:c r="E100" s="31"/>
      <x:c r="F100" s="31"/>
      <x:c r="G100" s="31"/>
      <x:c r="H100" s="31"/>
      <x:c r="I100" s="31"/>
      <x:c r="J100" s="31"/>
      <x:c r="K100" s="31"/>
      <x:c r="L100" s="39"/>
      <x:c r="M100" s="31"/>
      <x:c r="N100" s="31"/>
    </x:row>
    <x:row r="101">
      <x:c r="A101" s="31"/>
      <x:c r="B101" s="31"/>
      <x:c r="C101" s="31"/>
      <x:c r="D101" s="31"/>
      <x:c r="E101" s="31"/>
      <x:c r="F101" s="31"/>
      <x:c r="G101" s="31"/>
      <x:c r="H101" s="31"/>
      <x:c r="I101" s="31"/>
      <x:c r="J101" s="31"/>
      <x:c r="K101" s="31"/>
      <x:c r="L101" s="39"/>
      <x:c r="M101" s="31"/>
      <x:c r="N101" s="31"/>
    </x:row>
    <x:row r="102">
      <x:c r="A102" s="31"/>
      <x:c r="B102" s="31"/>
      <x:c r="C102" s="31"/>
      <x:c r="D102" s="31"/>
      <x:c r="E102" s="31"/>
      <x:c r="F102" s="31"/>
      <x:c r="G102" s="31"/>
      <x:c r="H102" s="31"/>
      <x:c r="I102" s="31"/>
      <x:c r="J102" s="31"/>
      <x:c r="K102" s="31"/>
      <x:c r="L102" s="39"/>
      <x:c r="M102" s="31"/>
      <x:c r="N102" s="31"/>
    </x:row>
    <x:row r="103">
      <x:c r="A103" s="31"/>
      <x:c r="B103" s="31"/>
      <x:c r="C103" s="31"/>
      <x:c r="D103" s="31"/>
      <x:c r="E103" s="31"/>
      <x:c r="F103" s="31"/>
      <x:c r="G103" s="31"/>
      <x:c r="H103" s="31"/>
      <x:c r="I103" s="31"/>
      <x:c r="J103" s="31"/>
      <x:c r="K103" s="31"/>
      <x:c r="L103" s="39"/>
      <x:c r="M103" s="31"/>
      <x:c r="N103" s="31"/>
    </x:row>
    <x:row r="104">
      <x:c r="A104" s="31"/>
      <x:c r="B104" s="31"/>
      <x:c r="C104" s="31"/>
      <x:c r="D104" s="31"/>
      <x:c r="E104" s="31"/>
      <x:c r="F104" s="31"/>
      <x:c r="G104" s="31"/>
      <x:c r="H104" s="31"/>
      <x:c r="I104" s="31"/>
      <x:c r="J104" s="31"/>
      <x:c r="K104" s="31"/>
      <x:c r="L104" s="39"/>
      <x:c r="M104" s="31"/>
      <x:c r="N104" s="31"/>
    </x:row>
    <x:row r="105">
      <x:c r="A105" s="31"/>
      <x:c r="B105" s="31"/>
      <x:c r="C105" s="31"/>
      <x:c r="D105" s="31"/>
      <x:c r="E105" s="31"/>
      <x:c r="F105" s="31"/>
      <x:c r="G105" s="31"/>
      <x:c r="H105" s="31"/>
      <x:c r="I105" s="31"/>
      <x:c r="J105" s="31"/>
      <x:c r="K105" s="31"/>
      <x:c r="L105" s="39"/>
      <x:c r="M105" s="31"/>
      <x:c r="N105" s="31"/>
    </x:row>
    <x:row r="106">
      <x:c r="A106" s="31"/>
      <x:c r="B106" s="31"/>
      <x:c r="C106" s="31"/>
      <x:c r="D106" s="31"/>
      <x:c r="E106" s="31"/>
      <x:c r="F106" s="31"/>
      <x:c r="G106" s="31"/>
      <x:c r="H106" s="31"/>
      <x:c r="I106" s="31"/>
      <x:c r="J106" s="31"/>
      <x:c r="K106" s="31"/>
      <x:c r="L106" s="39"/>
      <x:c r="M106" s="31"/>
      <x:c r="N106" s="31"/>
    </x:row>
    <x:row r="107">
      <x:c r="A107" s="31"/>
      <x:c r="B107" s="31"/>
      <x:c r="C107" s="31"/>
      <x:c r="D107" s="31"/>
      <x:c r="E107" s="31"/>
      <x:c r="F107" s="31"/>
      <x:c r="G107" s="31"/>
      <x:c r="H107" s="31"/>
      <x:c r="I107" s="31"/>
      <x:c r="J107" s="31"/>
      <x:c r="K107" s="31"/>
      <x:c r="L107" s="39"/>
      <x:c r="M107" s="31"/>
      <x:c r="N107" s="31"/>
    </x:row>
    <x:row r="108">
      <x:c r="A108" s="31"/>
      <x:c r="B108" s="31"/>
      <x:c r="C108" s="31"/>
      <x:c r="D108" s="31"/>
      <x:c r="E108" s="31"/>
      <x:c r="F108" s="31"/>
      <x:c r="G108" s="31"/>
      <x:c r="H108" s="31"/>
      <x:c r="I108" s="31"/>
      <x:c r="J108" s="31"/>
      <x:c r="K108" s="31"/>
      <x:c r="L108" s="39"/>
      <x:c r="M108" s="31"/>
      <x:c r="N108" s="31"/>
    </x:row>
    <x:row r="109">
      <x:c r="A109" s="31"/>
      <x:c r="B109" s="31"/>
      <x:c r="C109" s="31"/>
      <x:c r="D109" s="31"/>
      <x:c r="E109" s="31"/>
      <x:c r="F109" s="31"/>
      <x:c r="G109" s="31"/>
      <x:c r="H109" s="31"/>
      <x:c r="I109" s="31"/>
      <x:c r="J109" s="31"/>
      <x:c r="K109" s="31"/>
      <x:c r="L109" s="39"/>
      <x:c r="M109" s="31"/>
      <x:c r="N109" s="31"/>
    </x:row>
    <x:row r="110">
      <x:c r="A110" s="31"/>
      <x:c r="B110" s="31"/>
      <x:c r="C110" s="31"/>
      <x:c r="D110" s="31"/>
      <x:c r="E110" s="31"/>
      <x:c r="F110" s="31"/>
      <x:c r="G110" s="31"/>
      <x:c r="H110" s="31"/>
      <x:c r="I110" s="31"/>
      <x:c r="J110" s="31"/>
      <x:c r="K110" s="31"/>
      <x:c r="L110" s="39"/>
      <x:c r="M110" s="31"/>
      <x:c r="N110" s="31"/>
    </x:row>
    <x:row r="111">
      <x:c r="A111" s="31"/>
      <x:c r="B111" s="31"/>
      <x:c r="C111" s="31"/>
      <x:c r="D111" s="31"/>
      <x:c r="E111" s="31"/>
      <x:c r="F111" s="31"/>
      <x:c r="G111" s="31"/>
      <x:c r="H111" s="31"/>
      <x:c r="I111" s="31"/>
      <x:c r="J111" s="31"/>
      <x:c r="K111" s="31"/>
      <x:c r="L111" s="39"/>
      <x:c r="M111" s="31"/>
      <x:c r="N111" s="31"/>
    </x:row>
    <x:row r="112">
      <x:c r="A112" s="31"/>
      <x:c r="B112" s="31"/>
      <x:c r="C112" s="31"/>
      <x:c r="D112" s="31"/>
      <x:c r="E112" s="31"/>
      <x:c r="F112" s="31"/>
      <x:c r="G112" s="31"/>
      <x:c r="H112" s="31"/>
      <x:c r="I112" s="31"/>
      <x:c r="J112" s="31"/>
      <x:c r="K112" s="31"/>
      <x:c r="L112" s="39"/>
      <x:c r="M112" s="31"/>
      <x:c r="N112" s="31"/>
    </x:row>
    <x:row r="113">
      <x:c r="A113" s="31"/>
      <x:c r="B113" s="31"/>
      <x:c r="C113" s="31"/>
      <x:c r="D113" s="31"/>
      <x:c r="E113" s="31"/>
      <x:c r="F113" s="31"/>
      <x:c r="G113" s="31"/>
      <x:c r="H113" s="31"/>
      <x:c r="I113" s="31"/>
      <x:c r="J113" s="31"/>
      <x:c r="K113" s="31"/>
      <x:c r="L113" s="39"/>
      <x:c r="M113" s="31"/>
      <x:c r="N113" s="31"/>
    </x:row>
    <x:row r="114">
      <x:c r="A114" s="31"/>
      <x:c r="B114" s="31"/>
      <x:c r="C114" s="31"/>
      <x:c r="D114" s="31"/>
      <x:c r="E114" s="31"/>
      <x:c r="F114" s="31"/>
      <x:c r="G114" s="31"/>
      <x:c r="H114" s="31"/>
      <x:c r="I114" s="31"/>
      <x:c r="J114" s="31"/>
      <x:c r="K114" s="31"/>
      <x:c r="L114" s="39"/>
      <x:c r="M114" s="31"/>
      <x:c r="N114" s="31"/>
    </x:row>
    <x:row r="115">
      <x:c r="A115" s="31"/>
      <x:c r="B115" s="31"/>
      <x:c r="C115" s="31"/>
      <x:c r="D115" s="31"/>
      <x:c r="E115" s="31"/>
      <x:c r="F115" s="31"/>
      <x:c r="G115" s="31"/>
      <x:c r="H115" s="31"/>
      <x:c r="I115" s="31"/>
      <x:c r="J115" s="31"/>
      <x:c r="K115" s="31"/>
      <x:c r="L115" s="39"/>
      <x:c r="M115" s="31"/>
      <x:c r="N115" s="31"/>
    </x:row>
    <x:row r="116">
      <x:c r="A116" s="31"/>
      <x:c r="B116" s="31"/>
      <x:c r="C116" s="31"/>
      <x:c r="D116" s="31"/>
      <x:c r="E116" s="31"/>
      <x:c r="F116" s="31"/>
      <x:c r="G116" s="31"/>
      <x:c r="H116" s="31"/>
      <x:c r="I116" s="31"/>
      <x:c r="J116" s="31"/>
      <x:c r="K116" s="31"/>
      <x:c r="L116" s="39"/>
      <x:c r="M116" s="31"/>
      <x:c r="N116" s="31"/>
    </x:row>
    <x:row r="117">
      <x:c r="A117" s="31"/>
      <x:c r="B117" s="31"/>
      <x:c r="C117" s="31"/>
      <x:c r="D117" s="31"/>
      <x:c r="E117" s="31"/>
      <x:c r="F117" s="31"/>
      <x:c r="G117" s="31"/>
      <x:c r="H117" s="31"/>
      <x:c r="I117" s="31"/>
      <x:c r="J117" s="31"/>
      <x:c r="K117" s="31"/>
      <x:c r="L117" s="39"/>
      <x:c r="M117" s="31"/>
      <x:c r="N117" s="31"/>
    </x:row>
    <x:row r="118">
      <x:c r="A118" s="31"/>
      <x:c r="B118" s="31"/>
      <x:c r="C118" s="31"/>
      <x:c r="D118" s="31"/>
      <x:c r="E118" s="31"/>
      <x:c r="F118" s="31"/>
      <x:c r="G118" s="31"/>
      <x:c r="H118" s="31"/>
      <x:c r="I118" s="31"/>
      <x:c r="J118" s="31"/>
      <x:c r="K118" s="31"/>
      <x:c r="L118" s="39"/>
      <x:c r="M118" s="31"/>
      <x:c r="N118" s="31"/>
    </x:row>
    <x:row r="119">
      <x:c r="A119" s="31"/>
      <x:c r="B119" s="31"/>
      <x:c r="C119" s="31"/>
      <x:c r="D119" s="31"/>
      <x:c r="E119" s="31"/>
      <x:c r="F119" s="31"/>
      <x:c r="G119" s="31"/>
      <x:c r="H119" s="31"/>
      <x:c r="I119" s="31"/>
      <x:c r="J119" s="31"/>
      <x:c r="K119" s="31"/>
      <x:c r="L119" s="39"/>
      <x:c r="M119" s="31"/>
      <x:c r="N119" s="31"/>
    </x:row>
    <x:row r="120">
      <x:c r="A120" s="31"/>
      <x:c r="B120" s="31"/>
      <x:c r="C120" s="31"/>
      <x:c r="D120" s="31"/>
      <x:c r="E120" s="31"/>
      <x:c r="F120" s="31"/>
      <x:c r="G120" s="31"/>
      <x:c r="H120" s="31"/>
      <x:c r="I120" s="31"/>
      <x:c r="J120" s="31"/>
      <x:c r="K120" s="31"/>
      <x:c r="L120" s="39"/>
      <x:c r="M120" s="31"/>
      <x:c r="N120" s="31"/>
    </x:row>
    <x:row r="121">
      <x:c r="A121" s="31"/>
      <x:c r="B121" s="31"/>
      <x:c r="C121" s="31"/>
      <x:c r="D121" s="31"/>
      <x:c r="E121" s="31"/>
      <x:c r="F121" s="31"/>
      <x:c r="G121" s="31"/>
      <x:c r="H121" s="31"/>
      <x:c r="I121" s="31"/>
      <x:c r="J121" s="31"/>
      <x:c r="K121" s="31"/>
      <x:c r="L121" s="39"/>
      <x:c r="M121" s="31"/>
      <x:c r="N121" s="31"/>
    </x:row>
    <x:row r="122">
      <x:c r="A122" s="31"/>
      <x:c r="B122" s="31"/>
      <x:c r="C122" s="31"/>
      <x:c r="D122" s="31"/>
      <x:c r="E122" s="31"/>
      <x:c r="F122" s="31"/>
      <x:c r="G122" s="31"/>
      <x:c r="H122" s="31"/>
      <x:c r="I122" s="31"/>
      <x:c r="J122" s="31"/>
      <x:c r="K122" s="31"/>
      <x:c r="L122" s="39"/>
      <x:c r="M122" s="31"/>
      <x:c r="N122" s="31"/>
    </x:row>
    <x:row r="123">
      <x:c r="A123" s="31"/>
      <x:c r="B123" s="31"/>
      <x:c r="C123" s="31"/>
      <x:c r="D123" s="31"/>
      <x:c r="E123" s="31"/>
      <x:c r="F123" s="31"/>
      <x:c r="G123" s="31"/>
      <x:c r="H123" s="31"/>
      <x:c r="I123" s="31"/>
      <x:c r="J123" s="31"/>
      <x:c r="K123" s="31"/>
      <x:c r="L123" s="39"/>
      <x:c r="M123" s="31"/>
      <x:c r="N123" s="31"/>
    </x:row>
    <x:row r="124">
      <x:c r="A124" s="31"/>
      <x:c r="B124" s="31"/>
      <x:c r="C124" s="31"/>
      <x:c r="D124" s="31"/>
      <x:c r="E124" s="31"/>
      <x:c r="F124" s="31"/>
      <x:c r="G124" s="31"/>
      <x:c r="H124" s="31"/>
      <x:c r="I124" s="31"/>
      <x:c r="J124" s="31"/>
      <x:c r="K124" s="31"/>
      <x:c r="L124" s="39"/>
      <x:c r="M124" s="31"/>
      <x:c r="N124" s="31"/>
    </x:row>
    <x:row r="125">
      <x:c r="A125" s="31"/>
      <x:c r="B125" s="31"/>
      <x:c r="C125" s="31"/>
      <x:c r="D125" s="31"/>
      <x:c r="E125" s="31"/>
      <x:c r="F125" s="31"/>
      <x:c r="G125" s="31"/>
      <x:c r="H125" s="31"/>
      <x:c r="I125" s="31"/>
      <x:c r="J125" s="31"/>
      <x:c r="K125" s="31"/>
      <x:c r="L125" s="39"/>
      <x:c r="M125" s="31"/>
      <x:c r="N125" s="31"/>
    </x:row>
    <x:row r="126">
      <x:c r="A126" s="31"/>
      <x:c r="B126" s="31"/>
      <x:c r="C126" s="31"/>
      <x:c r="D126" s="31"/>
      <x:c r="E126" s="31"/>
      <x:c r="F126" s="31"/>
      <x:c r="G126" s="31"/>
      <x:c r="H126" s="31"/>
      <x:c r="I126" s="31"/>
      <x:c r="J126" s="31"/>
      <x:c r="K126" s="31"/>
      <x:c r="L126" s="39"/>
      <x:c r="M126" s="31"/>
      <x:c r="N126" s="31"/>
    </x:row>
    <x:row r="127">
      <x:c r="A127" s="31"/>
      <x:c r="B127" s="31"/>
      <x:c r="C127" s="31"/>
      <x:c r="D127" s="31"/>
      <x:c r="E127" s="31"/>
      <x:c r="F127" s="31"/>
      <x:c r="G127" s="31"/>
      <x:c r="H127" s="31"/>
      <x:c r="I127" s="31"/>
      <x:c r="J127" s="31"/>
      <x:c r="K127" s="31"/>
      <x:c r="L127" s="39"/>
      <x:c r="M127" s="31"/>
      <x:c r="N127" s="31"/>
    </x:row>
    <x:row r="128">
      <x:c r="A128" s="31"/>
      <x:c r="B128" s="31"/>
      <x:c r="C128" s="31"/>
      <x:c r="D128" s="31"/>
      <x:c r="E128" s="31"/>
      <x:c r="F128" s="31"/>
      <x:c r="G128" s="31"/>
      <x:c r="H128" s="31"/>
      <x:c r="I128" s="31"/>
      <x:c r="J128" s="31"/>
      <x:c r="K128" s="31"/>
      <x:c r="L128" s="39"/>
      <x:c r="M128" s="31"/>
      <x:c r="N128" s="31"/>
    </x:row>
    <x:row r="129">
      <x:c r="A129" s="31"/>
      <x:c r="B129" s="31"/>
      <x:c r="C129" s="31"/>
      <x:c r="D129" s="31"/>
      <x:c r="E129" s="31"/>
      <x:c r="F129" s="31"/>
      <x:c r="G129" s="31"/>
      <x:c r="H129" s="31"/>
      <x:c r="I129" s="31"/>
      <x:c r="J129" s="31"/>
      <x:c r="K129" s="31"/>
      <x:c r="L129" s="39"/>
      <x:c r="M129" s="31"/>
      <x:c r="N129" s="31"/>
    </x:row>
    <x:row r="130">
      <x:c r="A130" s="31"/>
      <x:c r="B130" s="31"/>
      <x:c r="C130" s="31"/>
      <x:c r="D130" s="31"/>
      <x:c r="E130" s="31"/>
      <x:c r="F130" s="31"/>
      <x:c r="G130" s="31"/>
      <x:c r="H130" s="31"/>
      <x:c r="I130" s="31"/>
      <x:c r="J130" s="31"/>
      <x:c r="K130" s="31"/>
      <x:c r="L130" s="39"/>
      <x:c r="M130" s="31"/>
      <x:c r="N130" s="31"/>
    </x:row>
    <x:row r="131">
      <x:c r="A131" s="31"/>
      <x:c r="B131" s="31"/>
      <x:c r="C131" s="31"/>
      <x:c r="D131" s="31"/>
      <x:c r="E131" s="31"/>
      <x:c r="F131" s="31"/>
      <x:c r="G131" s="31"/>
      <x:c r="H131" s="31"/>
      <x:c r="I131" s="31"/>
      <x:c r="J131" s="31"/>
      <x:c r="K131" s="31"/>
      <x:c r="L131" s="39"/>
      <x:c r="M131" s="31"/>
      <x:c r="N131" s="31"/>
    </x:row>
    <x:row r="132">
      <x:c r="A132" s="31"/>
      <x:c r="B132" s="31"/>
      <x:c r="C132" s="31"/>
      <x:c r="D132" s="31"/>
      <x:c r="E132" s="31"/>
      <x:c r="F132" s="31"/>
      <x:c r="G132" s="31"/>
      <x:c r="H132" s="31"/>
      <x:c r="I132" s="31"/>
      <x:c r="J132" s="31"/>
      <x:c r="K132" s="31"/>
      <x:c r="L132" s="39"/>
      <x:c r="M132" s="31"/>
      <x:c r="N132" s="31"/>
    </x:row>
    <x:row r="133">
      <x:c r="A133" s="31"/>
      <x:c r="B133" s="31"/>
      <x:c r="C133" s="31"/>
      <x:c r="D133" s="31"/>
      <x:c r="E133" s="31"/>
      <x:c r="F133" s="31"/>
      <x:c r="G133" s="31"/>
      <x:c r="H133" s="31"/>
      <x:c r="I133" s="31"/>
      <x:c r="J133" s="31"/>
      <x:c r="K133" s="31"/>
      <x:c r="L133" s="39"/>
      <x:c r="M133" s="31"/>
      <x:c r="N133" s="31"/>
    </x:row>
    <x:row r="134">
      <x:c r="A134" s="31"/>
      <x:c r="B134" s="31"/>
      <x:c r="C134" s="31"/>
      <x:c r="D134" s="31"/>
      <x:c r="E134" s="31"/>
      <x:c r="F134" s="31"/>
      <x:c r="G134" s="31"/>
      <x:c r="H134" s="31"/>
      <x:c r="I134" s="31"/>
      <x:c r="J134" s="31"/>
      <x:c r="K134" s="31"/>
      <x:c r="L134" s="39"/>
      <x:c r="M134" s="31"/>
      <x:c r="N134" s="31"/>
    </x:row>
    <x:row r="135">
      <x:c r="A135" s="31"/>
      <x:c r="B135" s="31"/>
      <x:c r="C135" s="31"/>
      <x:c r="D135" s="31"/>
      <x:c r="E135" s="31"/>
      <x:c r="F135" s="31"/>
      <x:c r="G135" s="31"/>
      <x:c r="H135" s="31"/>
      <x:c r="I135" s="31"/>
      <x:c r="J135" s="31"/>
      <x:c r="K135" s="31"/>
      <x:c r="L135" s="39"/>
      <x:c r="M135" s="31"/>
      <x:c r="N135" s="31"/>
    </x:row>
    <x:row r="136">
      <x:c r="A136" s="31"/>
      <x:c r="B136" s="31"/>
      <x:c r="C136" s="31"/>
      <x:c r="D136" s="31"/>
      <x:c r="E136" s="31"/>
      <x:c r="F136" s="31"/>
      <x:c r="G136" s="31"/>
      <x:c r="H136" s="31"/>
      <x:c r="I136" s="31"/>
      <x:c r="J136" s="31"/>
      <x:c r="K136" s="31"/>
      <x:c r="L136" s="39"/>
      <x:c r="M136" s="31"/>
      <x:c r="N136" s="31"/>
    </x:row>
    <x:row r="137">
      <x:c r="A137" s="31"/>
      <x:c r="B137" s="31"/>
      <x:c r="C137" s="31"/>
      <x:c r="D137" s="31"/>
      <x:c r="E137" s="31"/>
      <x:c r="F137" s="31"/>
      <x:c r="G137" s="31"/>
      <x:c r="H137" s="31"/>
      <x:c r="I137" s="31"/>
      <x:c r="J137" s="31"/>
      <x:c r="K137" s="31"/>
      <x:c r="L137" s="39"/>
      <x:c r="M137" s="31"/>
      <x:c r="N137" s="31"/>
    </x:row>
    <x:row r="138">
      <x:c r="A138" s="31"/>
      <x:c r="B138" s="31"/>
      <x:c r="C138" s="31"/>
      <x:c r="D138" s="31"/>
      <x:c r="E138" s="31"/>
      <x:c r="F138" s="31"/>
      <x:c r="G138" s="31"/>
      <x:c r="H138" s="31"/>
      <x:c r="I138" s="31"/>
      <x:c r="J138" s="31"/>
      <x:c r="K138" s="31"/>
      <x:c r="L138" s="39"/>
      <x:c r="M138" s="31"/>
      <x:c r="N138" s="31"/>
    </x:row>
    <x:row r="139">
      <x:c r="A139" s="31"/>
      <x:c r="B139" s="31"/>
      <x:c r="C139" s="31"/>
      <x:c r="D139" s="31"/>
      <x:c r="E139" s="31"/>
      <x:c r="F139" s="31"/>
      <x:c r="G139" s="31"/>
      <x:c r="H139" s="31"/>
      <x:c r="I139" s="31"/>
      <x:c r="J139" s="31"/>
      <x:c r="K139" s="31"/>
      <x:c r="L139" s="39"/>
      <x:c r="M139" s="31"/>
      <x:c r="N139" s="31"/>
    </x:row>
    <x:row r="140">
      <x:c r="A140" s="31"/>
      <x:c r="B140" s="31"/>
      <x:c r="C140" s="31"/>
      <x:c r="D140" s="31"/>
      <x:c r="E140" s="31"/>
      <x:c r="F140" s="31"/>
      <x:c r="G140" s="31"/>
      <x:c r="H140" s="31"/>
      <x:c r="I140" s="31"/>
      <x:c r="J140" s="31"/>
      <x:c r="K140" s="31"/>
      <x:c r="L140" s="39"/>
      <x:c r="M140" s="31"/>
      <x:c r="N140" s="31"/>
    </x:row>
    <x:row r="141">
      <x:c r="A141" s="31"/>
      <x:c r="B141" s="31"/>
      <x:c r="C141" s="31"/>
      <x:c r="D141" s="31"/>
      <x:c r="E141" s="31"/>
      <x:c r="F141" s="31"/>
      <x:c r="G141" s="31"/>
      <x:c r="H141" s="31"/>
      <x:c r="I141" s="31"/>
      <x:c r="J141" s="31"/>
      <x:c r="K141" s="31"/>
      <x:c r="L141" s="39"/>
      <x:c r="M141" s="31"/>
      <x:c r="N141" s="31"/>
    </x:row>
    <x:row r="142">
      <x:c r="A142" s="31"/>
      <x:c r="B142" s="31"/>
      <x:c r="C142" s="31"/>
      <x:c r="D142" s="31"/>
      <x:c r="E142" s="31"/>
      <x:c r="F142" s="31"/>
      <x:c r="G142" s="31"/>
      <x:c r="H142" s="31"/>
      <x:c r="I142" s="31"/>
      <x:c r="J142" s="31"/>
      <x:c r="K142" s="31"/>
      <x:c r="L142" s="39"/>
      <x:c r="M142" s="31"/>
      <x:c r="N142" s="31"/>
    </x:row>
    <x:row r="143">
      <x:c r="A143" s="31"/>
      <x:c r="B143" s="31"/>
      <x:c r="C143" s="31"/>
      <x:c r="D143" s="31"/>
      <x:c r="E143" s="31"/>
      <x:c r="F143" s="31"/>
      <x:c r="G143" s="31"/>
      <x:c r="H143" s="31"/>
      <x:c r="I143" s="31"/>
      <x:c r="J143" s="31"/>
      <x:c r="K143" s="31"/>
      <x:c r="L143" s="39"/>
      <x:c r="M143" s="31"/>
      <x:c r="N143" s="31"/>
    </x:row>
    <x:row r="144">
      <x:c r="A144" s="31"/>
      <x:c r="B144" s="31"/>
      <x:c r="C144" s="31"/>
      <x:c r="D144" s="31"/>
      <x:c r="E144" s="31"/>
      <x:c r="F144" s="31"/>
      <x:c r="G144" s="31"/>
      <x:c r="H144" s="31"/>
      <x:c r="I144" s="31"/>
      <x:c r="J144" s="31"/>
      <x:c r="K144" s="31"/>
      <x:c r="L144" s="39"/>
      <x:c r="M144" s="31"/>
      <x:c r="N144" s="31"/>
    </x:row>
    <x:row r="145">
      <x:c r="A145" s="31"/>
      <x:c r="B145" s="31"/>
      <x:c r="C145" s="31"/>
      <x:c r="D145" s="31"/>
      <x:c r="E145" s="31"/>
      <x:c r="F145" s="31"/>
      <x:c r="G145" s="31"/>
      <x:c r="H145" s="31"/>
      <x:c r="I145" s="31"/>
      <x:c r="J145" s="31"/>
      <x:c r="K145" s="31"/>
      <x:c r="L145" s="39"/>
      <x:c r="M145" s="31"/>
      <x:c r="N145" s="31"/>
    </x:row>
    <x:row r="146">
      <x:c r="A146" s="31"/>
      <x:c r="B146" s="31"/>
      <x:c r="C146" s="31"/>
      <x:c r="D146" s="31"/>
      <x:c r="E146" s="31"/>
      <x:c r="F146" s="31"/>
      <x:c r="G146" s="31"/>
      <x:c r="H146" s="31"/>
      <x:c r="I146" s="31"/>
      <x:c r="J146" s="31"/>
      <x:c r="K146" s="31"/>
      <x:c r="L146" s="39"/>
      <x:c r="M146" s="31"/>
      <x:c r="N146" s="31"/>
    </x:row>
    <x:row r="147">
      <x:c r="A147" s="31"/>
      <x:c r="B147" s="31"/>
      <x:c r="C147" s="31"/>
      <x:c r="D147" s="31"/>
      <x:c r="E147" s="31"/>
      <x:c r="F147" s="31"/>
      <x:c r="G147" s="31"/>
      <x:c r="H147" s="31"/>
      <x:c r="I147" s="31"/>
      <x:c r="J147" s="31"/>
      <x:c r="K147" s="31"/>
      <x:c r="L147" s="39"/>
      <x:c r="M147" s="31"/>
      <x:c r="N147" s="31"/>
    </x:row>
    <x:row r="148">
      <x:c r="A148" s="31"/>
      <x:c r="B148" s="31"/>
      <x:c r="C148" s="31"/>
      <x:c r="D148" s="31"/>
      <x:c r="E148" s="31"/>
      <x:c r="F148" s="31"/>
      <x:c r="G148" s="31"/>
      <x:c r="H148" s="31"/>
      <x:c r="I148" s="31"/>
      <x:c r="J148" s="31"/>
      <x:c r="K148" s="31"/>
      <x:c r="L148" s="39"/>
      <x:c r="M148" s="31"/>
      <x:c r="N148" s="31"/>
    </x:row>
    <x:row r="149">
      <x:c r="A149" s="31"/>
      <x:c r="B149" s="31"/>
      <x:c r="C149" s="31"/>
      <x:c r="D149" s="31"/>
      <x:c r="E149" s="31"/>
      <x:c r="F149" s="31"/>
      <x:c r="G149" s="31"/>
      <x:c r="H149" s="31"/>
      <x:c r="I149" s="31"/>
      <x:c r="J149" s="31"/>
      <x:c r="K149" s="31"/>
      <x:c r="L149" s="39"/>
      <x:c r="M149" s="31"/>
      <x:c r="N149" s="31"/>
    </x:row>
    <x:row r="150">
      <x:c r="A150" s="31"/>
      <x:c r="B150" s="31"/>
      <x:c r="C150" s="31"/>
      <x:c r="D150" s="31"/>
      <x:c r="E150" s="31"/>
      <x:c r="F150" s="31"/>
      <x:c r="G150" s="31"/>
      <x:c r="H150" s="31"/>
      <x:c r="I150" s="31"/>
      <x:c r="J150" s="31"/>
      <x:c r="K150" s="31"/>
      <x:c r="L150" s="39"/>
      <x:c r="M150" s="31"/>
      <x:c r="N150" s="31"/>
    </x:row>
    <x:row r="151">
      <x:c r="A151" s="31"/>
      <x:c r="B151" s="31"/>
      <x:c r="C151" s="31"/>
      <x:c r="D151" s="31"/>
      <x:c r="E151" s="31"/>
      <x:c r="F151" s="31"/>
      <x:c r="G151" s="31"/>
      <x:c r="H151" s="31"/>
      <x:c r="I151" s="31"/>
      <x:c r="J151" s="31"/>
      <x:c r="K151" s="31"/>
      <x:c r="L151" s="39"/>
      <x:c r="M151" s="31"/>
      <x:c r="N151" s="31"/>
    </x:row>
    <x:row r="152">
      <x:c r="A152" s="31"/>
      <x:c r="B152" s="31"/>
      <x:c r="C152" s="31"/>
      <x:c r="D152" s="31"/>
      <x:c r="E152" s="31"/>
      <x:c r="F152" s="31"/>
      <x:c r="G152" s="31"/>
      <x:c r="H152" s="31"/>
      <x:c r="I152" s="31"/>
      <x:c r="J152" s="31"/>
      <x:c r="K152" s="31"/>
      <x:c r="L152" s="39"/>
      <x:c r="M152" s="31"/>
      <x:c r="N152" s="31"/>
    </x:row>
    <x:row r="153">
      <x:c r="A153" s="31"/>
      <x:c r="B153" s="31"/>
      <x:c r="C153" s="31"/>
      <x:c r="D153" s="31"/>
      <x:c r="E153" s="31"/>
      <x:c r="F153" s="31"/>
      <x:c r="G153" s="31"/>
      <x:c r="H153" s="31"/>
      <x:c r="I153" s="31"/>
      <x:c r="J153" s="31"/>
      <x:c r="K153" s="31"/>
      <x:c r="L153" s="39"/>
      <x:c r="M153" s="31"/>
      <x:c r="N153" s="31"/>
    </x:row>
    <x:row r="154">
      <x:c r="A154" s="31"/>
      <x:c r="B154" s="31"/>
      <x:c r="C154" s="31"/>
      <x:c r="D154" s="31"/>
      <x:c r="E154" s="31"/>
      <x:c r="F154" s="31"/>
      <x:c r="G154" s="31"/>
      <x:c r="H154" s="31"/>
      <x:c r="I154" s="31"/>
      <x:c r="J154" s="31"/>
      <x:c r="K154" s="31"/>
      <x:c r="L154" s="39"/>
      <x:c r="M154" s="31"/>
      <x:c r="N154" s="31"/>
    </x:row>
    <x:row r="155">
      <x:c r="A155" s="31"/>
      <x:c r="B155" s="31"/>
      <x:c r="C155" s="31"/>
      <x:c r="D155" s="31"/>
      <x:c r="E155" s="31"/>
      <x:c r="F155" s="31"/>
      <x:c r="G155" s="31"/>
      <x:c r="H155" s="31"/>
      <x:c r="I155" s="31"/>
      <x:c r="J155" s="31"/>
      <x:c r="K155" s="31"/>
      <x:c r="L155" s="39"/>
      <x:c r="M155" s="31"/>
      <x:c r="N155" s="31"/>
    </x:row>
    <x:row r="156">
      <x:c r="A156" s="31"/>
      <x:c r="B156" s="31"/>
      <x:c r="C156" s="31"/>
      <x:c r="D156" s="31"/>
      <x:c r="E156" s="31"/>
      <x:c r="F156" s="31"/>
      <x:c r="G156" s="31"/>
      <x:c r="H156" s="31"/>
      <x:c r="I156" s="31"/>
      <x:c r="J156" s="31"/>
      <x:c r="K156" s="31"/>
      <x:c r="L156" s="39"/>
      <x:c r="M156" s="31"/>
      <x:c r="N156" s="31"/>
    </x:row>
    <x:row r="157">
      <x:c r="A157" s="31"/>
      <x:c r="B157" s="31"/>
      <x:c r="C157" s="31"/>
      <x:c r="D157" s="31"/>
      <x:c r="E157" s="31"/>
      <x:c r="F157" s="31"/>
      <x:c r="G157" s="31"/>
      <x:c r="H157" s="31"/>
      <x:c r="I157" s="31"/>
      <x:c r="J157" s="31"/>
      <x:c r="K157" s="31"/>
      <x:c r="L157" s="39"/>
      <x:c r="M157" s="31"/>
      <x:c r="N157" s="31"/>
    </x:row>
    <x:row r="158">
      <x:c r="A158" s="31"/>
      <x:c r="B158" s="31"/>
      <x:c r="C158" s="31"/>
      <x:c r="D158" s="31"/>
      <x:c r="E158" s="31"/>
      <x:c r="F158" s="31"/>
      <x:c r="G158" s="31"/>
      <x:c r="H158" s="31"/>
      <x:c r="I158" s="31"/>
      <x:c r="J158" s="31"/>
      <x:c r="K158" s="31"/>
      <x:c r="L158" s="39"/>
      <x:c r="M158" s="31"/>
      <x:c r="N158" s="31"/>
    </x:row>
    <x:row r="159">
      <x:c r="A159" s="31"/>
      <x:c r="B159" s="31"/>
      <x:c r="C159" s="31"/>
      <x:c r="D159" s="31"/>
      <x:c r="E159" s="31"/>
      <x:c r="F159" s="31"/>
      <x:c r="G159" s="31"/>
      <x:c r="H159" s="31"/>
      <x:c r="I159" s="31"/>
      <x:c r="J159" s="31"/>
      <x:c r="K159" s="31"/>
      <x:c r="L159" s="39"/>
      <x:c r="M159" s="31"/>
      <x:c r="N159" s="31"/>
    </x:row>
    <x:row r="160">
      <x:c r="A160" s="31"/>
      <x:c r="B160" s="31"/>
      <x:c r="C160" s="31"/>
      <x:c r="D160" s="31"/>
      <x:c r="E160" s="31"/>
      <x:c r="F160" s="31"/>
      <x:c r="G160" s="31"/>
      <x:c r="H160" s="31"/>
      <x:c r="I160" s="31"/>
      <x:c r="J160" s="31"/>
      <x:c r="K160" s="31"/>
      <x:c r="L160" s="39"/>
      <x:c r="M160" s="31"/>
      <x:c r="N160" s="31"/>
    </x:row>
    <x:row r="161">
      <x:c r="A161" s="31"/>
      <x:c r="B161" s="31"/>
      <x:c r="C161" s="31"/>
      <x:c r="D161" s="31"/>
      <x:c r="E161" s="31"/>
      <x:c r="F161" s="31"/>
      <x:c r="G161" s="31"/>
      <x:c r="H161" s="31"/>
      <x:c r="I161" s="31"/>
      <x:c r="J161" s="31"/>
      <x:c r="K161" s="31"/>
      <x:c r="L161" s="39"/>
      <x:c r="M161" s="31"/>
      <x:c r="N161" s="31"/>
    </x:row>
    <x:row r="162">
      <x:c r="A162" s="31"/>
      <x:c r="B162" s="31"/>
      <x:c r="C162" s="31"/>
      <x:c r="D162" s="31"/>
      <x:c r="E162" s="31"/>
      <x:c r="F162" s="31"/>
      <x:c r="G162" s="31"/>
      <x:c r="H162" s="31"/>
      <x:c r="I162" s="31"/>
      <x:c r="J162" s="31"/>
      <x:c r="K162" s="31"/>
      <x:c r="L162" s="39"/>
      <x:c r="M162" s="31"/>
      <x:c r="N162" s="31"/>
    </x:row>
    <x:row r="163">
      <x:c r="A163" s="31"/>
      <x:c r="B163" s="31"/>
      <x:c r="C163" s="31"/>
      <x:c r="D163" s="31"/>
      <x:c r="E163" s="31"/>
      <x:c r="F163" s="31"/>
      <x:c r="G163" s="31"/>
      <x:c r="H163" s="31"/>
      <x:c r="I163" s="31"/>
      <x:c r="J163" s="31"/>
      <x:c r="K163" s="31"/>
      <x:c r="L163" s="39"/>
      <x:c r="M163" s="31"/>
      <x:c r="N163" s="31"/>
    </x:row>
    <x:row r="164">
      <x:c r="A164" s="31"/>
      <x:c r="B164" s="31"/>
      <x:c r="C164" s="31"/>
      <x:c r="D164" s="31"/>
      <x:c r="E164" s="31"/>
      <x:c r="F164" s="31"/>
      <x:c r="G164" s="31"/>
      <x:c r="H164" s="31"/>
      <x:c r="I164" s="31"/>
      <x:c r="J164" s="31"/>
      <x:c r="K164" s="31"/>
      <x:c r="L164" s="39"/>
      <x:c r="M164" s="31"/>
      <x:c r="N164" s="31"/>
    </x:row>
    <x:row r="165">
      <x:c r="A165" s="31"/>
      <x:c r="B165" s="31"/>
      <x:c r="C165" s="31"/>
      <x:c r="D165" s="31"/>
      <x:c r="E165" s="31"/>
      <x:c r="F165" s="31"/>
      <x:c r="G165" s="31"/>
      <x:c r="H165" s="31"/>
      <x:c r="I165" s="31"/>
      <x:c r="J165" s="31"/>
      <x:c r="K165" s="31"/>
      <x:c r="L165" s="39"/>
      <x:c r="M165" s="31"/>
      <x:c r="N165" s="31"/>
    </x:row>
    <x:row r="166">
      <x:c r="A166" s="31"/>
      <x:c r="B166" s="31"/>
      <x:c r="C166" s="31"/>
      <x:c r="D166" s="31"/>
      <x:c r="E166" s="31"/>
      <x:c r="F166" s="31"/>
      <x:c r="G166" s="31"/>
      <x:c r="H166" s="31"/>
      <x:c r="I166" s="31"/>
      <x:c r="J166" s="31"/>
      <x:c r="K166" s="31"/>
      <x:c r="L166" s="39"/>
      <x:c r="M166" s="31"/>
      <x:c r="N166" s="31"/>
    </x:row>
    <x:row r="167">
      <x:c r="A167" s="31"/>
      <x:c r="B167" s="31"/>
      <x:c r="C167" s="31"/>
      <x:c r="D167" s="31"/>
      <x:c r="E167" s="31"/>
      <x:c r="F167" s="31"/>
      <x:c r="G167" s="31"/>
      <x:c r="H167" s="31"/>
      <x:c r="I167" s="31"/>
      <x:c r="J167" s="31"/>
      <x:c r="K167" s="31"/>
      <x:c r="L167" s="39"/>
      <x:c r="M167" s="31"/>
      <x:c r="N167" s="31"/>
    </x:row>
    <x:row r="168">
      <x:c r="A168" s="31"/>
      <x:c r="B168" s="31"/>
      <x:c r="C168" s="31"/>
      <x:c r="D168" s="31"/>
      <x:c r="E168" s="31"/>
      <x:c r="F168" s="31"/>
      <x:c r="G168" s="31"/>
      <x:c r="H168" s="31"/>
      <x:c r="I168" s="31"/>
      <x:c r="J168" s="31"/>
      <x:c r="K168" s="31"/>
      <x:c r="L168" s="39"/>
      <x:c r="M168" s="31"/>
      <x:c r="N168" s="31"/>
    </x:row>
    <x:row r="169">
      <x:c r="A169" s="31"/>
      <x:c r="B169" s="31"/>
      <x:c r="C169" s="31"/>
      <x:c r="D169" s="31"/>
      <x:c r="E169" s="31"/>
      <x:c r="F169" s="31"/>
      <x:c r="G169" s="31"/>
      <x:c r="H169" s="31"/>
      <x:c r="I169" s="31"/>
      <x:c r="J169" s="31"/>
      <x:c r="K169" s="31"/>
      <x:c r="L169" s="39"/>
      <x:c r="M169" s="31"/>
      <x:c r="N169" s="31"/>
    </x:row>
    <x:row r="170">
      <x:c r="A170" s="31"/>
      <x:c r="B170" s="31"/>
      <x:c r="C170" s="31"/>
      <x:c r="D170" s="31"/>
      <x:c r="E170" s="31"/>
      <x:c r="F170" s="31"/>
      <x:c r="G170" s="31"/>
      <x:c r="H170" s="31"/>
      <x:c r="I170" s="31"/>
      <x:c r="J170" s="31"/>
      <x:c r="K170" s="31"/>
      <x:c r="L170" s="39"/>
      <x:c r="M170" s="31"/>
      <x:c r="N170" s="31"/>
    </x:row>
    <x:row r="171">
      <x:c r="A171" s="31"/>
      <x:c r="B171" s="31"/>
      <x:c r="C171" s="31"/>
      <x:c r="D171" s="31"/>
      <x:c r="E171" s="31"/>
      <x:c r="F171" s="31"/>
      <x:c r="G171" s="31"/>
      <x:c r="H171" s="31"/>
      <x:c r="I171" s="31"/>
      <x:c r="J171" s="31"/>
      <x:c r="K171" s="31"/>
      <x:c r="L171" s="39"/>
      <x:c r="M171" s="31"/>
      <x:c r="N171" s="31"/>
    </x:row>
    <x:row r="172">
      <x:c r="A172" s="31"/>
      <x:c r="B172" s="31"/>
      <x:c r="C172" s="31"/>
      <x:c r="D172" s="31"/>
      <x:c r="E172" s="31"/>
      <x:c r="F172" s="31"/>
      <x:c r="G172" s="31"/>
      <x:c r="H172" s="31"/>
      <x:c r="I172" s="31"/>
      <x:c r="J172" s="31"/>
      <x:c r="K172" s="31"/>
      <x:c r="L172" s="39"/>
      <x:c r="M172" s="31"/>
      <x:c r="N172" s="31"/>
    </x:row>
    <x:row r="173">
      <x:c r="A173" s="31"/>
      <x:c r="B173" s="31"/>
      <x:c r="C173" s="31"/>
      <x:c r="D173" s="31"/>
      <x:c r="E173" s="31"/>
      <x:c r="F173" s="31"/>
      <x:c r="G173" s="31"/>
      <x:c r="H173" s="31"/>
      <x:c r="I173" s="31"/>
      <x:c r="J173" s="31"/>
      <x:c r="K173" s="31"/>
      <x:c r="L173" s="39"/>
      <x:c r="M173" s="31"/>
      <x:c r="N173" s="31"/>
    </x:row>
    <x:row r="174">
      <x:c r="A174" s="31"/>
      <x:c r="B174" s="31"/>
      <x:c r="C174" s="31"/>
      <x:c r="D174" s="31"/>
      <x:c r="E174" s="31"/>
      <x:c r="F174" s="31"/>
      <x:c r="G174" s="31"/>
      <x:c r="H174" s="31"/>
      <x:c r="I174" s="31"/>
      <x:c r="J174" s="31"/>
      <x:c r="K174" s="31"/>
      <x:c r="L174" s="39"/>
      <x:c r="M174" s="31"/>
      <x:c r="N174" s="31"/>
    </x:row>
    <x:row r="175">
      <x:c r="A175" s="31"/>
      <x:c r="B175" s="31"/>
      <x:c r="C175" s="31"/>
      <x:c r="D175" s="31"/>
      <x:c r="E175" s="31"/>
      <x:c r="F175" s="31"/>
      <x:c r="G175" s="31"/>
      <x:c r="H175" s="31"/>
      <x:c r="I175" s="31"/>
      <x:c r="J175" s="31"/>
      <x:c r="K175" s="31"/>
      <x:c r="L175" s="39"/>
      <x:c r="M175" s="31"/>
      <x:c r="N175" s="31"/>
    </x:row>
    <x:row r="176">
      <x:c r="A176" s="31"/>
      <x:c r="B176" s="31"/>
      <x:c r="C176" s="31"/>
      <x:c r="D176" s="31"/>
      <x:c r="E176" s="31"/>
      <x:c r="F176" s="31"/>
      <x:c r="G176" s="31"/>
      <x:c r="H176" s="31"/>
      <x:c r="I176" s="31"/>
      <x:c r="J176" s="31"/>
      <x:c r="K176" s="31"/>
      <x:c r="L176" s="39"/>
      <x:c r="M176" s="31"/>
      <x:c r="N176" s="31"/>
    </x:row>
    <x:row r="177">
      <x:c r="A177" s="31"/>
      <x:c r="B177" s="31"/>
      <x:c r="C177" s="31"/>
      <x:c r="D177" s="31"/>
      <x:c r="E177" s="31"/>
      <x:c r="F177" s="31"/>
      <x:c r="G177" s="31"/>
      <x:c r="H177" s="31"/>
      <x:c r="I177" s="31"/>
      <x:c r="J177" s="31"/>
      <x:c r="K177" s="31"/>
      <x:c r="L177" s="39"/>
      <x:c r="M177" s="31"/>
      <x:c r="N177" s="31"/>
    </x:row>
    <x:row r="178">
      <x:c r="A178" s="31"/>
      <x:c r="B178" s="31"/>
      <x:c r="C178" s="31"/>
      <x:c r="D178" s="31"/>
      <x:c r="E178" s="31"/>
      <x:c r="F178" s="31"/>
      <x:c r="G178" s="31"/>
      <x:c r="H178" s="31"/>
      <x:c r="I178" s="31"/>
      <x:c r="J178" s="31"/>
      <x:c r="K178" s="31"/>
      <x:c r="L178" s="39"/>
      <x:c r="M178" s="31"/>
      <x:c r="N178" s="31"/>
    </x:row>
    <x:row r="179">
      <x:c r="A179" s="31"/>
      <x:c r="B179" s="31"/>
      <x:c r="C179" s="31"/>
      <x:c r="D179" s="31"/>
      <x:c r="E179" s="31"/>
      <x:c r="F179" s="31"/>
      <x:c r="G179" s="31"/>
      <x:c r="H179" s="31"/>
      <x:c r="I179" s="31"/>
      <x:c r="J179" s="31"/>
      <x:c r="K179" s="31"/>
      <x:c r="L179" s="39"/>
      <x:c r="M179" s="31"/>
      <x:c r="N179" s="31"/>
    </x:row>
    <x:row r="180">
      <x:c r="A180" s="31"/>
      <x:c r="B180" s="31"/>
      <x:c r="C180" s="31"/>
      <x:c r="D180" s="31"/>
      <x:c r="E180" s="31"/>
      <x:c r="F180" s="31"/>
      <x:c r="G180" s="31"/>
      <x:c r="H180" s="31"/>
      <x:c r="I180" s="31"/>
      <x:c r="J180" s="31"/>
      <x:c r="K180" s="31"/>
      <x:c r="L180" s="39"/>
      <x:c r="M180" s="31"/>
      <x:c r="N180" s="31"/>
    </x:row>
    <x:row r="181">
      <x:c r="A181" s="31"/>
      <x:c r="B181" s="31"/>
      <x:c r="C181" s="31"/>
      <x:c r="D181" s="31"/>
      <x:c r="E181" s="31"/>
      <x:c r="F181" s="31"/>
      <x:c r="G181" s="31"/>
      <x:c r="H181" s="31"/>
      <x:c r="I181" s="31"/>
      <x:c r="J181" s="31"/>
      <x:c r="K181" s="31"/>
      <x:c r="L181" s="39"/>
      <x:c r="M181" s="31"/>
      <x:c r="N181" s="31"/>
    </x:row>
    <x:row r="182">
      <x:c r="A182" s="31"/>
      <x:c r="B182" s="31"/>
      <x:c r="C182" s="31"/>
      <x:c r="D182" s="31"/>
      <x:c r="E182" s="31"/>
      <x:c r="F182" s="31"/>
      <x:c r="G182" s="31"/>
      <x:c r="H182" s="31"/>
      <x:c r="I182" s="31"/>
      <x:c r="J182" s="31"/>
      <x:c r="K182" s="31"/>
      <x:c r="L182" s="39"/>
      <x:c r="M182" s="31"/>
      <x:c r="N182" s="31"/>
    </x:row>
    <x:row r="183">
      <x:c r="A183" s="31"/>
      <x:c r="B183" s="31"/>
      <x:c r="C183" s="31"/>
      <x:c r="D183" s="31"/>
      <x:c r="E183" s="31"/>
      <x:c r="F183" s="31"/>
      <x:c r="G183" s="31"/>
      <x:c r="H183" s="31"/>
      <x:c r="I183" s="31"/>
      <x:c r="J183" s="31"/>
      <x:c r="K183" s="31"/>
      <x:c r="L183" s="39"/>
      <x:c r="M183" s="31"/>
      <x:c r="N183" s="31"/>
    </x:row>
    <x:row r="184">
      <x:c r="A184" s="31"/>
      <x:c r="B184" s="31"/>
      <x:c r="C184" s="31"/>
      <x:c r="D184" s="31"/>
      <x:c r="E184" s="31"/>
      <x:c r="F184" s="31"/>
      <x:c r="G184" s="31"/>
      <x:c r="H184" s="31"/>
      <x:c r="I184" s="31"/>
      <x:c r="J184" s="31"/>
      <x:c r="K184" s="31"/>
      <x:c r="L184" s="39"/>
      <x:c r="M184" s="31"/>
      <x:c r="N184" s="31"/>
    </x:row>
    <x:row r="185">
      <x:c r="A185" s="31"/>
      <x:c r="B185" s="31"/>
      <x:c r="C185" s="31"/>
      <x:c r="D185" s="31"/>
      <x:c r="E185" s="31"/>
      <x:c r="F185" s="31"/>
      <x:c r="G185" s="31"/>
      <x:c r="H185" s="31"/>
      <x:c r="I185" s="31"/>
      <x:c r="J185" s="31"/>
      <x:c r="K185" s="31"/>
      <x:c r="L185" s="39"/>
      <x:c r="M185" s="31"/>
      <x:c r="N185" s="31"/>
    </x:row>
    <x:row r="186">
      <x:c r="A186" s="31"/>
      <x:c r="B186" s="31"/>
      <x:c r="C186" s="31"/>
      <x:c r="D186" s="31"/>
      <x:c r="E186" s="31"/>
      <x:c r="F186" s="31"/>
      <x:c r="G186" s="31"/>
      <x:c r="H186" s="31"/>
      <x:c r="I186" s="31"/>
      <x:c r="J186" s="31"/>
      <x:c r="K186" s="31"/>
      <x:c r="L186" s="39"/>
      <x:c r="M186" s="31"/>
      <x:c r="N186" s="31"/>
    </x:row>
    <x:row r="187">
      <x:c r="A187" s="31"/>
      <x:c r="B187" s="31"/>
      <x:c r="C187" s="31"/>
      <x:c r="D187" s="31"/>
      <x:c r="E187" s="31"/>
      <x:c r="F187" s="31"/>
      <x:c r="G187" s="31"/>
      <x:c r="H187" s="31"/>
      <x:c r="I187" s="31"/>
      <x:c r="J187" s="31"/>
      <x:c r="K187" s="31"/>
      <x:c r="L187" s="39"/>
      <x:c r="M187" s="31"/>
      <x:c r="N187" s="31"/>
    </x:row>
    <x:row r="188">
      <x:c r="A188" s="31"/>
      <x:c r="B188" s="31"/>
      <x:c r="C188" s="31"/>
      <x:c r="D188" s="31"/>
      <x:c r="E188" s="31"/>
      <x:c r="F188" s="31"/>
      <x:c r="G188" s="31"/>
      <x:c r="H188" s="31"/>
      <x:c r="I188" s="31"/>
      <x:c r="J188" s="31"/>
      <x:c r="K188" s="31"/>
      <x:c r="L188" s="39"/>
      <x:c r="M188" s="31"/>
      <x:c r="N188" s="31"/>
    </x:row>
    <x:row r="189">
      <x:c r="A189" s="31"/>
      <x:c r="B189" s="31"/>
      <x:c r="C189" s="31"/>
      <x:c r="D189" s="31"/>
      <x:c r="E189" s="31"/>
      <x:c r="F189" s="31"/>
      <x:c r="G189" s="31"/>
      <x:c r="H189" s="31"/>
      <x:c r="I189" s="31"/>
      <x:c r="J189" s="31"/>
      <x:c r="K189" s="31"/>
      <x:c r="L189" s="39"/>
      <x:c r="M189" s="31"/>
      <x:c r="N189" s="31"/>
    </x:row>
    <x:row r="190">
      <x:c r="A190" s="31"/>
      <x:c r="B190" s="31"/>
      <x:c r="C190" s="31"/>
      <x:c r="D190" s="31"/>
      <x:c r="E190" s="31"/>
      <x:c r="F190" s="31"/>
      <x:c r="G190" s="31"/>
      <x:c r="H190" s="31"/>
      <x:c r="I190" s="31"/>
      <x:c r="J190" s="31"/>
      <x:c r="K190" s="31"/>
      <x:c r="L190" s="39"/>
      <x:c r="M190" s="31"/>
      <x:c r="N190" s="31"/>
    </x:row>
    <x:row r="191">
      <x:c r="A191" s="31"/>
      <x:c r="B191" s="31"/>
      <x:c r="C191" s="31"/>
      <x:c r="D191" s="31"/>
      <x:c r="E191" s="31"/>
      <x:c r="F191" s="31"/>
      <x:c r="G191" s="31"/>
      <x:c r="H191" s="31"/>
      <x:c r="I191" s="31"/>
      <x:c r="J191" s="31"/>
      <x:c r="K191" s="31"/>
      <x:c r="L191" s="39"/>
      <x:c r="M191" s="31"/>
      <x:c r="N191" s="31"/>
    </x:row>
    <x:row r="192">
      <x:c r="A192" s="31"/>
      <x:c r="B192" s="31"/>
      <x:c r="C192" s="31"/>
      <x:c r="D192" s="31"/>
      <x:c r="E192" s="31"/>
      <x:c r="F192" s="31"/>
      <x:c r="G192" s="31"/>
      <x:c r="H192" s="31"/>
      <x:c r="I192" s="31"/>
      <x:c r="J192" s="31"/>
      <x:c r="K192" s="31"/>
      <x:c r="L192" s="39"/>
      <x:c r="M192" s="31"/>
      <x:c r="N192" s="31"/>
    </x:row>
    <x:row r="193">
      <x:c r="A193" s="31"/>
      <x:c r="B193" s="31"/>
      <x:c r="C193" s="31"/>
      <x:c r="D193" s="31"/>
      <x:c r="E193" s="31"/>
      <x:c r="F193" s="31"/>
      <x:c r="G193" s="31"/>
      <x:c r="H193" s="31"/>
      <x:c r="I193" s="31"/>
      <x:c r="J193" s="31"/>
      <x:c r="K193" s="31"/>
      <x:c r="L193" s="39"/>
      <x:c r="M193" s="31"/>
      <x:c r="N193" s="31"/>
    </x:row>
    <x:row r="194">
      <x:c r="A194" s="31"/>
      <x:c r="B194" s="31"/>
      <x:c r="C194" s="31"/>
      <x:c r="D194" s="31"/>
      <x:c r="E194" s="31"/>
      <x:c r="F194" s="31"/>
      <x:c r="G194" s="31"/>
      <x:c r="H194" s="31"/>
      <x:c r="I194" s="31"/>
      <x:c r="J194" s="31"/>
      <x:c r="K194" s="31"/>
      <x:c r="L194" s="39"/>
      <x:c r="M194" s="31"/>
      <x:c r="N194" s="31"/>
    </x:row>
    <x:row r="195">
      <x:c r="A195" s="31"/>
      <x:c r="B195" s="31"/>
      <x:c r="C195" s="31"/>
      <x:c r="D195" s="31"/>
      <x:c r="E195" s="31"/>
      <x:c r="F195" s="31"/>
      <x:c r="G195" s="31"/>
      <x:c r="H195" s="31"/>
      <x:c r="I195" s="31"/>
      <x:c r="J195" s="31"/>
      <x:c r="K195" s="31"/>
      <x:c r="L195" s="39"/>
      <x:c r="M195" s="31"/>
      <x:c r="N195" s="31"/>
    </x:row>
    <x:row r="196">
      <x:c r="A196" s="31"/>
      <x:c r="B196" s="31"/>
      <x:c r="C196" s="31"/>
      <x:c r="D196" s="31"/>
      <x:c r="E196" s="31"/>
      <x:c r="F196" s="31"/>
      <x:c r="G196" s="31"/>
      <x:c r="H196" s="31"/>
      <x:c r="I196" s="31"/>
      <x:c r="J196" s="31"/>
      <x:c r="K196" s="31"/>
      <x:c r="L196" s="39"/>
      <x:c r="M196" s="31"/>
      <x:c r="N196" s="31"/>
    </x:row>
    <x:row r="197">
      <x:c r="A197" s="31"/>
      <x:c r="B197" s="31"/>
      <x:c r="C197" s="31"/>
      <x:c r="D197" s="31"/>
      <x:c r="E197" s="31"/>
      <x:c r="F197" s="31"/>
      <x:c r="G197" s="31"/>
      <x:c r="H197" s="31"/>
      <x:c r="I197" s="31"/>
      <x:c r="J197" s="31"/>
      <x:c r="K197" s="31"/>
      <x:c r="L197" s="39"/>
      <x:c r="M197" s="31"/>
      <x:c r="N197" s="31"/>
    </x:row>
    <x:row r="198">
      <x:c r="A198" s="31"/>
      <x:c r="B198" s="31"/>
      <x:c r="C198" s="31"/>
      <x:c r="D198" s="31"/>
      <x:c r="E198" s="31"/>
      <x:c r="F198" s="31"/>
      <x:c r="G198" s="31"/>
      <x:c r="H198" s="31"/>
      <x:c r="I198" s="31"/>
      <x:c r="J198" s="31"/>
      <x:c r="K198" s="31"/>
      <x:c r="L198" s="39"/>
      <x:c r="M198" s="31"/>
      <x:c r="N198" s="31"/>
    </x:row>
    <x:row r="199">
      <x:c r="A199" s="31"/>
      <x:c r="B199" s="31"/>
      <x:c r="C199" s="31"/>
      <x:c r="D199" s="31"/>
      <x:c r="E199" s="31"/>
      <x:c r="F199" s="31"/>
      <x:c r="G199" s="31"/>
      <x:c r="H199" s="31"/>
      <x:c r="I199" s="31"/>
      <x:c r="J199" s="31"/>
      <x:c r="K199" s="31"/>
      <x:c r="L199" s="39"/>
      <x:c r="M199" s="31"/>
      <x:c r="N199" s="31"/>
    </x:row>
    <x:row r="200">
      <x:c r="A200" s="31"/>
      <x:c r="B200" s="31"/>
      <x:c r="C200" s="31"/>
      <x:c r="D200" s="31"/>
      <x:c r="E200" s="31"/>
      <x:c r="F200" s="31"/>
      <x:c r="G200" s="31"/>
      <x:c r="H200" s="31"/>
      <x:c r="I200" s="31"/>
      <x:c r="J200" s="31"/>
      <x:c r="K200" s="31"/>
      <x:c r="L200" s="39"/>
      <x:c r="M200" s="31"/>
      <x:c r="N200" s="31"/>
    </x:row>
    <x:row r="201">
      <x:c r="A201" s="31"/>
      <x:c r="B201" s="31"/>
      <x:c r="C201" s="31"/>
      <x:c r="D201" s="31"/>
      <x:c r="E201" s="31"/>
      <x:c r="F201" s="31"/>
      <x:c r="G201" s="31"/>
      <x:c r="H201" s="31"/>
      <x:c r="I201" s="31"/>
      <x:c r="J201" s="31"/>
      <x:c r="K201" s="31"/>
      <x:c r="L201" s="39"/>
      <x:c r="M201" s="31"/>
      <x:c r="N201" s="31"/>
    </x:row>
    <x:row r="202">
      <x:c r="A202" s="31"/>
      <x:c r="B202" s="31"/>
      <x:c r="C202" s="31"/>
      <x:c r="D202" s="31"/>
      <x:c r="E202" s="31"/>
      <x:c r="F202" s="31"/>
      <x:c r="G202" s="31"/>
      <x:c r="H202" s="31"/>
      <x:c r="I202" s="31"/>
      <x:c r="J202" s="31"/>
      <x:c r="K202" s="31"/>
      <x:c r="L202" s="39"/>
      <x:c r="M202" s="31"/>
      <x:c r="N202" s="31"/>
    </x:row>
    <x:row r="203">
      <x:c r="A203" s="31"/>
      <x:c r="B203" s="31"/>
      <x:c r="C203" s="31"/>
      <x:c r="D203" s="31"/>
      <x:c r="E203" s="31"/>
      <x:c r="F203" s="31"/>
      <x:c r="G203" s="31"/>
      <x:c r="H203" s="31"/>
      <x:c r="I203" s="31"/>
      <x:c r="J203" s="31"/>
      <x:c r="K203" s="31"/>
      <x:c r="L203" s="39"/>
      <x:c r="M203" s="31"/>
      <x:c r="N203" s="31"/>
    </x:row>
    <x:row r="204">
      <x:c r="A204" s="31"/>
      <x:c r="B204" s="31"/>
      <x:c r="C204" s="31"/>
      <x:c r="D204" s="31"/>
      <x:c r="E204" s="31"/>
      <x:c r="F204" s="31"/>
      <x:c r="G204" s="31"/>
      <x:c r="H204" s="31"/>
      <x:c r="I204" s="31"/>
      <x:c r="J204" s="31"/>
      <x:c r="K204" s="31"/>
      <x:c r="L204" s="39"/>
      <x:c r="M204" s="31"/>
      <x:c r="N204" s="31"/>
    </x:row>
    <x:row r="205">
      <x:c r="A205" s="31"/>
      <x:c r="B205" s="31"/>
      <x:c r="C205" s="31"/>
      <x:c r="D205" s="31"/>
      <x:c r="E205" s="31"/>
      <x:c r="F205" s="31"/>
      <x:c r="G205" s="31"/>
      <x:c r="H205" s="31"/>
      <x:c r="I205" s="31"/>
      <x:c r="J205" s="31"/>
      <x:c r="K205" s="31"/>
      <x:c r="L205" s="39"/>
      <x:c r="M205" s="31"/>
      <x:c r="N205" s="31"/>
    </x:row>
    <x:row r="206">
      <x:c r="A206" s="31"/>
      <x:c r="B206" s="31"/>
      <x:c r="C206" s="31"/>
      <x:c r="D206" s="31"/>
      <x:c r="E206" s="31"/>
      <x:c r="F206" s="31"/>
      <x:c r="G206" s="31"/>
      <x:c r="H206" s="31"/>
      <x:c r="I206" s="31"/>
      <x:c r="J206" s="31"/>
      <x:c r="K206" s="31"/>
      <x:c r="L206" s="39"/>
      <x:c r="M206" s="31"/>
      <x:c r="N206" s="31"/>
    </x:row>
    <x:row r="207">
      <x:c r="A207" s="31"/>
      <x:c r="B207" s="31"/>
      <x:c r="C207" s="31"/>
      <x:c r="D207" s="31"/>
      <x:c r="E207" s="31"/>
      <x:c r="F207" s="31"/>
      <x:c r="G207" s="31"/>
      <x:c r="H207" s="31"/>
      <x:c r="I207" s="31"/>
      <x:c r="J207" s="31"/>
      <x:c r="K207" s="31"/>
      <x:c r="L207" s="39"/>
      <x:c r="M207" s="31"/>
      <x:c r="N207" s="31"/>
    </x:row>
    <x:row r="208">
      <x:c r="A208" s="31"/>
      <x:c r="B208" s="31"/>
      <x:c r="C208" s="31"/>
      <x:c r="D208" s="31"/>
      <x:c r="E208" s="31"/>
      <x:c r="F208" s="31"/>
      <x:c r="G208" s="31"/>
      <x:c r="H208" s="31"/>
      <x:c r="I208" s="31"/>
      <x:c r="J208" s="31"/>
      <x:c r="K208" s="31"/>
      <x:c r="L208" s="39"/>
      <x:c r="M208" s="31"/>
      <x:c r="N208" s="31"/>
    </x:row>
    <x:row r="209">
      <x:c r="A209" s="31"/>
      <x:c r="B209" s="31"/>
      <x:c r="C209" s="31"/>
      <x:c r="D209" s="31"/>
      <x:c r="E209" s="31"/>
      <x:c r="F209" s="31"/>
      <x:c r="G209" s="31"/>
      <x:c r="H209" s="31"/>
      <x:c r="I209" s="31"/>
      <x:c r="J209" s="31"/>
      <x:c r="K209" s="31"/>
      <x:c r="L209" s="39"/>
      <x:c r="M209" s="31"/>
      <x:c r="N209" s="31"/>
    </x:row>
    <x:row r="210">
      <x:c r="A210" s="31"/>
      <x:c r="B210" s="31"/>
      <x:c r="C210" s="31"/>
      <x:c r="D210" s="31"/>
      <x:c r="E210" s="31"/>
      <x:c r="F210" s="31"/>
      <x:c r="G210" s="31"/>
      <x:c r="H210" s="31"/>
      <x:c r="I210" s="31"/>
      <x:c r="J210" s="31"/>
      <x:c r="K210" s="31"/>
      <x:c r="L210" s="39"/>
      <x:c r="M210" s="31"/>
      <x:c r="N210" s="31"/>
    </x:row>
    <x:row r="211">
      <x:c r="A211" s="31"/>
      <x:c r="B211" s="31"/>
      <x:c r="C211" s="31"/>
      <x:c r="D211" s="31"/>
      <x:c r="E211" s="31"/>
      <x:c r="F211" s="31"/>
      <x:c r="G211" s="31"/>
      <x:c r="H211" s="31"/>
      <x:c r="I211" s="31"/>
      <x:c r="J211" s="31"/>
      <x:c r="K211" s="31"/>
      <x:c r="L211" s="39"/>
      <x:c r="M211" s="31"/>
      <x:c r="N211" s="31"/>
    </x:row>
    <x:row r="212">
      <x:c r="A212" s="31"/>
      <x:c r="B212" s="31"/>
      <x:c r="C212" s="31"/>
      <x:c r="D212" s="31"/>
      <x:c r="E212" s="31"/>
      <x:c r="F212" s="31"/>
      <x:c r="G212" s="31"/>
      <x:c r="H212" s="31"/>
      <x:c r="I212" s="31"/>
      <x:c r="J212" s="31"/>
      <x:c r="K212" s="31"/>
      <x:c r="L212" s="39"/>
      <x:c r="M212" s="31"/>
      <x:c r="N212" s="31"/>
    </x:row>
    <x:row r="213">
      <x:c r="A213" s="31"/>
      <x:c r="B213" s="31"/>
      <x:c r="C213" s="31"/>
      <x:c r="D213" s="31"/>
      <x:c r="E213" s="31"/>
      <x:c r="F213" s="31"/>
      <x:c r="G213" s="31"/>
      <x:c r="H213" s="31"/>
      <x:c r="I213" s="31"/>
      <x:c r="J213" s="31"/>
      <x:c r="K213" s="31"/>
      <x:c r="L213" s="39"/>
      <x:c r="M213" s="31"/>
      <x:c r="N213" s="31"/>
    </x:row>
    <x:row r="214">
      <x:c r="A214" s="31"/>
      <x:c r="B214" s="31"/>
      <x:c r="C214" s="31"/>
      <x:c r="D214" s="31"/>
      <x:c r="E214" s="31"/>
      <x:c r="F214" s="31"/>
      <x:c r="G214" s="31"/>
      <x:c r="H214" s="31"/>
      <x:c r="I214" s="31"/>
      <x:c r="J214" s="31"/>
      <x:c r="K214" s="31"/>
      <x:c r="L214" s="39"/>
      <x:c r="M214" s="31"/>
      <x:c r="N214" s="31"/>
    </x:row>
    <x:row r="215">
      <x:c r="A215" s="31"/>
      <x:c r="B215" s="31"/>
      <x:c r="C215" s="31"/>
      <x:c r="D215" s="31"/>
      <x:c r="E215" s="31"/>
      <x:c r="F215" s="31"/>
      <x:c r="G215" s="31"/>
      <x:c r="H215" s="31"/>
      <x:c r="I215" s="31"/>
      <x:c r="J215" s="31"/>
      <x:c r="K215" s="31"/>
      <x:c r="L215" s="39"/>
      <x:c r="M215" s="31"/>
      <x:c r="N215" s="31"/>
    </x:row>
    <x:row r="216">
      <x:c r="A216" s="31"/>
      <x:c r="B216" s="31"/>
      <x:c r="C216" s="31"/>
      <x:c r="D216" s="31"/>
      <x:c r="E216" s="31"/>
      <x:c r="F216" s="31"/>
      <x:c r="G216" s="31"/>
      <x:c r="H216" s="31"/>
      <x:c r="I216" s="31"/>
      <x:c r="J216" s="31"/>
      <x:c r="K216" s="31"/>
      <x:c r="L216" s="39"/>
      <x:c r="M216" s="31"/>
      <x:c r="N216" s="31"/>
    </x:row>
    <x:row r="217">
      <x:c r="A217" s="31"/>
      <x:c r="B217" s="31"/>
      <x:c r="C217" s="31"/>
      <x:c r="D217" s="31"/>
      <x:c r="E217" s="31"/>
      <x:c r="F217" s="31"/>
      <x:c r="G217" s="31"/>
      <x:c r="H217" s="31"/>
      <x:c r="I217" s="31"/>
      <x:c r="J217" s="31"/>
      <x:c r="K217" s="31"/>
      <x:c r="L217" s="39"/>
      <x:c r="M217" s="31"/>
      <x:c r="N217" s="31"/>
    </x:row>
    <x:row r="218">
      <x:c r="A218" s="31"/>
      <x:c r="B218" s="31"/>
      <x:c r="C218" s="31"/>
      <x:c r="D218" s="31"/>
      <x:c r="E218" s="31"/>
      <x:c r="F218" s="31"/>
      <x:c r="G218" s="31"/>
      <x:c r="H218" s="31"/>
      <x:c r="I218" s="31"/>
      <x:c r="J218" s="31"/>
      <x:c r="K218" s="31"/>
      <x:c r="L218" s="39"/>
      <x:c r="M218" s="31"/>
      <x:c r="N218" s="31"/>
    </x:row>
    <x:row r="219">
      <x:c r="A219" s="31"/>
      <x:c r="B219" s="31"/>
      <x:c r="C219" s="31"/>
      <x:c r="D219" s="31"/>
      <x:c r="E219" s="31"/>
      <x:c r="F219" s="31"/>
      <x:c r="G219" s="31"/>
      <x:c r="H219" s="31"/>
      <x:c r="I219" s="31"/>
      <x:c r="J219" s="31"/>
      <x:c r="K219" s="31"/>
      <x:c r="L219" s="39"/>
      <x:c r="M219" s="31"/>
      <x:c r="N219" s="31"/>
    </x:row>
    <x:row r="220">
      <x:c r="A220" s="31"/>
      <x:c r="B220" s="31"/>
      <x:c r="C220" s="31"/>
      <x:c r="D220" s="31"/>
      <x:c r="E220" s="31"/>
      <x:c r="F220" s="31"/>
      <x:c r="G220" s="31"/>
      <x:c r="H220" s="31"/>
      <x:c r="I220" s="31"/>
      <x:c r="J220" s="31"/>
      <x:c r="K220" s="31"/>
      <x:c r="L220" s="39"/>
      <x:c r="M220" s="31"/>
      <x:c r="N220" s="31"/>
    </x:row>
    <x:row r="221">
      <x:c r="A221" s="31"/>
      <x:c r="B221" s="31"/>
      <x:c r="C221" s="31"/>
      <x:c r="D221" s="31"/>
      <x:c r="E221" s="31"/>
      <x:c r="F221" s="31"/>
      <x:c r="G221" s="31"/>
      <x:c r="H221" s="31"/>
      <x:c r="I221" s="31"/>
      <x:c r="J221" s="31"/>
      <x:c r="K221" s="31"/>
      <x:c r="L221" s="39"/>
      <x:c r="M221" s="31"/>
      <x:c r="N221" s="31"/>
    </x:row>
    <x:row r="222">
      <x:c r="A222" s="31"/>
      <x:c r="B222" s="31"/>
      <x:c r="C222" s="31"/>
      <x:c r="D222" s="31"/>
      <x:c r="E222" s="31"/>
      <x:c r="F222" s="31"/>
      <x:c r="G222" s="31"/>
      <x:c r="H222" s="31"/>
      <x:c r="I222" s="31"/>
      <x:c r="J222" s="31"/>
      <x:c r="K222" s="31"/>
      <x:c r="L222" s="39"/>
      <x:c r="M222" s="31"/>
      <x:c r="N222" s="31"/>
    </x:row>
    <x:row r="223">
      <x:c r="A223" s="31"/>
      <x:c r="B223" s="31"/>
      <x:c r="C223" s="31"/>
      <x:c r="D223" s="31"/>
      <x:c r="E223" s="31"/>
      <x:c r="F223" s="31"/>
      <x:c r="G223" s="31"/>
      <x:c r="H223" s="31"/>
      <x:c r="I223" s="31"/>
      <x:c r="J223" s="31"/>
      <x:c r="K223" s="31"/>
      <x:c r="L223" s="39"/>
      <x:c r="M223" s="31"/>
      <x:c r="N223" s="31"/>
    </x:row>
    <x:row r="224">
      <x:c r="A224" s="31"/>
      <x:c r="B224" s="31"/>
      <x:c r="C224" s="31"/>
      <x:c r="D224" s="31"/>
      <x:c r="E224" s="31"/>
      <x:c r="F224" s="31"/>
      <x:c r="G224" s="31"/>
      <x:c r="H224" s="31"/>
      <x:c r="I224" s="31"/>
      <x:c r="J224" s="31"/>
      <x:c r="K224" s="31"/>
      <x:c r="L224" s="39"/>
      <x:c r="M224" s="31"/>
      <x:c r="N224" s="31"/>
    </x:row>
    <x:row r="225">
      <x:c r="A225" s="31"/>
      <x:c r="B225" s="31"/>
      <x:c r="C225" s="31"/>
      <x:c r="D225" s="31"/>
      <x:c r="E225" s="31"/>
      <x:c r="F225" s="31"/>
      <x:c r="G225" s="31"/>
      <x:c r="H225" s="31"/>
      <x:c r="I225" s="31"/>
      <x:c r="J225" s="31"/>
      <x:c r="K225" s="31"/>
      <x:c r="L225" s="39"/>
      <x:c r="M225" s="31"/>
      <x:c r="N225" s="31"/>
    </x:row>
    <x:row r="226">
      <x:c r="A226" s="31"/>
      <x:c r="B226" s="31"/>
      <x:c r="C226" s="31"/>
      <x:c r="D226" s="31"/>
      <x:c r="E226" s="31"/>
      <x:c r="F226" s="31"/>
      <x:c r="G226" s="31"/>
      <x:c r="H226" s="31"/>
      <x:c r="I226" s="31"/>
      <x:c r="J226" s="31"/>
      <x:c r="K226" s="31"/>
      <x:c r="L226" s="39"/>
      <x:c r="M226" s="31"/>
      <x:c r="N226" s="31"/>
    </x:row>
    <x:row r="227">
      <x:c r="A227" s="31"/>
      <x:c r="B227" s="31"/>
      <x:c r="C227" s="31"/>
      <x:c r="D227" s="31"/>
      <x:c r="E227" s="31"/>
      <x:c r="F227" s="31"/>
      <x:c r="G227" s="31"/>
      <x:c r="H227" s="31"/>
      <x:c r="I227" s="31"/>
      <x:c r="J227" s="31"/>
      <x:c r="K227" s="31"/>
      <x:c r="L227" s="39"/>
      <x:c r="M227" s="31"/>
      <x:c r="N227" s="31"/>
    </x:row>
    <x:row r="228">
      <x:c r="A228" s="31"/>
      <x:c r="B228" s="31"/>
      <x:c r="C228" s="31"/>
      <x:c r="D228" s="31"/>
      <x:c r="E228" s="31"/>
      <x:c r="F228" s="31"/>
      <x:c r="G228" s="31"/>
      <x:c r="H228" s="31"/>
      <x:c r="I228" s="31"/>
      <x:c r="J228" s="31"/>
      <x:c r="K228" s="31"/>
      <x:c r="L228" s="39"/>
      <x:c r="M228" s="31"/>
      <x:c r="N228" s="31"/>
    </x:row>
    <x:row r="229">
      <x:c r="A229" s="31"/>
      <x:c r="B229" s="31"/>
      <x:c r="C229" s="31"/>
      <x:c r="D229" s="31"/>
      <x:c r="E229" s="31"/>
      <x:c r="F229" s="31"/>
      <x:c r="G229" s="31"/>
      <x:c r="H229" s="31"/>
      <x:c r="I229" s="31"/>
      <x:c r="J229" s="31"/>
      <x:c r="K229" s="31"/>
      <x:c r="L229" s="39"/>
      <x:c r="M229" s="31"/>
      <x:c r="N229" s="31"/>
    </x:row>
    <x:row r="230">
      <x:c r="A230" s="31"/>
      <x:c r="B230" s="31"/>
      <x:c r="C230" s="31"/>
      <x:c r="D230" s="31"/>
      <x:c r="E230" s="31"/>
      <x:c r="F230" s="31"/>
      <x:c r="G230" s="31"/>
      <x:c r="H230" s="31"/>
      <x:c r="I230" s="31"/>
      <x:c r="J230" s="31"/>
      <x:c r="K230" s="31"/>
      <x:c r="L230" s="39"/>
      <x:c r="M230" s="31"/>
      <x:c r="N230" s="31"/>
    </x:row>
    <x:row r="231">
      <x:c r="A231" s="31"/>
      <x:c r="B231" s="31"/>
      <x:c r="C231" s="31"/>
      <x:c r="D231" s="31"/>
      <x:c r="E231" s="31"/>
      <x:c r="F231" s="31"/>
      <x:c r="G231" s="31"/>
      <x:c r="H231" s="31"/>
      <x:c r="I231" s="31"/>
      <x:c r="J231" s="31"/>
      <x:c r="K231" s="31"/>
      <x:c r="L231" s="39"/>
      <x:c r="M231" s="31"/>
      <x:c r="N231" s="31"/>
    </x:row>
    <x:row r="232">
      <x:c r="A232" s="31"/>
      <x:c r="B232" s="31"/>
      <x:c r="C232" s="31"/>
      <x:c r="D232" s="31"/>
      <x:c r="E232" s="31"/>
      <x:c r="F232" s="31"/>
      <x:c r="G232" s="31"/>
      <x:c r="H232" s="31"/>
      <x:c r="I232" s="31"/>
      <x:c r="J232" s="31"/>
      <x:c r="K232" s="31"/>
      <x:c r="L232" s="39"/>
      <x:c r="M232" s="31"/>
      <x:c r="N232" s="31"/>
    </x:row>
    <x:row r="233">
      <x:c r="A233" s="31"/>
      <x:c r="B233" s="31"/>
      <x:c r="C233" s="31"/>
      <x:c r="D233" s="31"/>
      <x:c r="E233" s="31"/>
      <x:c r="F233" s="31"/>
      <x:c r="G233" s="31"/>
      <x:c r="H233" s="31"/>
      <x:c r="I233" s="31"/>
      <x:c r="J233" s="31"/>
      <x:c r="K233" s="31"/>
      <x:c r="L233" s="39"/>
      <x:c r="M233" s="31"/>
      <x:c r="N233" s="31"/>
    </x:row>
    <x:row r="234">
      <x:c r="A234" s="31"/>
      <x:c r="B234" s="31"/>
      <x:c r="C234" s="31"/>
      <x:c r="D234" s="31"/>
      <x:c r="E234" s="31"/>
      <x:c r="F234" s="31"/>
      <x:c r="G234" s="31"/>
      <x:c r="H234" s="31"/>
      <x:c r="I234" s="31"/>
      <x:c r="J234" s="31"/>
      <x:c r="K234" s="31"/>
      <x:c r="L234" s="39"/>
      <x:c r="M234" s="31"/>
      <x:c r="N234" s="31"/>
    </x:row>
    <x:row r="235">
      <x:c r="A235" s="31"/>
      <x:c r="B235" s="31"/>
      <x:c r="C235" s="31"/>
      <x:c r="D235" s="31"/>
      <x:c r="E235" s="31"/>
      <x:c r="F235" s="31"/>
      <x:c r="G235" s="31"/>
      <x:c r="H235" s="31"/>
      <x:c r="I235" s="31"/>
      <x:c r="J235" s="31"/>
      <x:c r="K235" s="31"/>
      <x:c r="L235" s="39"/>
      <x:c r="M235" s="31"/>
      <x:c r="N235" s="31"/>
    </x:row>
    <x:row r="236">
      <x:c r="A236" s="31"/>
      <x:c r="B236" s="31"/>
      <x:c r="C236" s="31"/>
      <x:c r="D236" s="31"/>
      <x:c r="E236" s="31"/>
      <x:c r="F236" s="31"/>
      <x:c r="G236" s="31"/>
      <x:c r="H236" s="31"/>
      <x:c r="I236" s="31"/>
      <x:c r="J236" s="31"/>
      <x:c r="K236" s="31"/>
      <x:c r="L236" s="39"/>
      <x:c r="M236" s="31"/>
      <x:c r="N236" s="31"/>
    </x:row>
    <x:row r="237">
      <x:c r="A237" s="31"/>
      <x:c r="B237" s="31"/>
      <x:c r="C237" s="31"/>
      <x:c r="D237" s="31"/>
      <x:c r="E237" s="31"/>
      <x:c r="F237" s="31"/>
      <x:c r="G237" s="31"/>
      <x:c r="H237" s="31"/>
      <x:c r="I237" s="31"/>
      <x:c r="J237" s="31"/>
      <x:c r="K237" s="31"/>
      <x:c r="L237" s="39"/>
      <x:c r="M237" s="31"/>
      <x:c r="N237" s="31"/>
    </x:row>
    <x:row r="238">
      <x:c r="A238" s="31"/>
      <x:c r="B238" s="31"/>
      <x:c r="C238" s="31"/>
      <x:c r="D238" s="31"/>
      <x:c r="E238" s="31"/>
      <x:c r="F238" s="31"/>
      <x:c r="G238" s="31"/>
      <x:c r="H238" s="31"/>
      <x:c r="I238" s="31"/>
      <x:c r="J238" s="31"/>
      <x:c r="K238" s="31"/>
      <x:c r="L238" s="39"/>
      <x:c r="M238" s="31"/>
      <x:c r="N238" s="31"/>
    </x:row>
    <x:row r="239">
      <x:c r="A239" s="31"/>
      <x:c r="B239" s="31"/>
      <x:c r="C239" s="31"/>
      <x:c r="D239" s="31"/>
      <x:c r="E239" s="31"/>
      <x:c r="F239" s="31"/>
      <x:c r="G239" s="31"/>
      <x:c r="H239" s="31"/>
      <x:c r="I239" s="31"/>
      <x:c r="J239" s="31"/>
      <x:c r="K239" s="31"/>
      <x:c r="L239" s="39"/>
      <x:c r="M239" s="31"/>
      <x:c r="N239" s="31"/>
    </x:row>
    <x:row r="240">
      <x:c r="A240" s="31"/>
      <x:c r="B240" s="31"/>
      <x:c r="C240" s="31"/>
      <x:c r="D240" s="31"/>
      <x:c r="E240" s="31"/>
      <x:c r="F240" s="31"/>
      <x:c r="G240" s="31"/>
      <x:c r="H240" s="31"/>
      <x:c r="I240" s="31"/>
      <x:c r="J240" s="31"/>
      <x:c r="K240" s="31"/>
      <x:c r="L240" s="39"/>
      <x:c r="M240" s="31"/>
      <x:c r="N240" s="31"/>
    </x:row>
    <x:row r="241">
      <x:c r="A241" s="31"/>
      <x:c r="B241" s="31"/>
      <x:c r="C241" s="31"/>
      <x:c r="D241" s="31"/>
      <x:c r="E241" s="31"/>
      <x:c r="F241" s="31"/>
      <x:c r="G241" s="31"/>
      <x:c r="H241" s="31"/>
      <x:c r="I241" s="31"/>
      <x:c r="J241" s="31"/>
      <x:c r="K241" s="31"/>
      <x:c r="L241" s="39"/>
      <x:c r="M241" s="31"/>
      <x:c r="N241" s="31"/>
    </x:row>
    <x:row r="242">
      <x:c r="A242" s="31"/>
      <x:c r="B242" s="31"/>
      <x:c r="C242" s="31"/>
      <x:c r="D242" s="31"/>
      <x:c r="E242" s="31"/>
      <x:c r="F242" s="31"/>
      <x:c r="G242" s="31"/>
      <x:c r="H242" s="31"/>
      <x:c r="I242" s="31"/>
      <x:c r="J242" s="31"/>
      <x:c r="K242" s="31"/>
      <x:c r="L242" s="39"/>
      <x:c r="M242" s="31"/>
      <x:c r="N242" s="31"/>
    </x:row>
    <x:row r="243">
      <x:c r="A243" s="31"/>
      <x:c r="B243" s="31"/>
      <x:c r="C243" s="31"/>
      <x:c r="D243" s="31"/>
      <x:c r="E243" s="31"/>
      <x:c r="F243" s="31"/>
      <x:c r="G243" s="31"/>
      <x:c r="H243" s="31"/>
      <x:c r="I243" s="31"/>
      <x:c r="J243" s="31"/>
      <x:c r="K243" s="31"/>
      <x:c r="L243" s="39"/>
      <x:c r="M243" s="31"/>
      <x:c r="N243" s="31"/>
    </x:row>
    <x:row r="244">
      <x:c r="A244" s="31"/>
      <x:c r="B244" s="31"/>
      <x:c r="C244" s="31"/>
      <x:c r="D244" s="31"/>
      <x:c r="E244" s="31"/>
      <x:c r="F244" s="31"/>
      <x:c r="G244" s="31"/>
      <x:c r="H244" s="31"/>
      <x:c r="I244" s="31"/>
      <x:c r="J244" s="31"/>
      <x:c r="K244" s="31"/>
      <x:c r="L244" s="39"/>
      <x:c r="M244" s="31"/>
      <x:c r="N244" s="31"/>
    </x:row>
    <x:row r="245">
      <x:c r="A245" s="31"/>
      <x:c r="B245" s="31"/>
      <x:c r="C245" s="31"/>
      <x:c r="D245" s="31"/>
      <x:c r="E245" s="31"/>
      <x:c r="F245" s="31"/>
      <x:c r="G245" s="31"/>
      <x:c r="H245" s="31"/>
      <x:c r="I245" s="31"/>
      <x:c r="J245" s="31"/>
      <x:c r="K245" s="31"/>
      <x:c r="L245" s="39"/>
      <x:c r="M245" s="31"/>
      <x:c r="N245" s="31"/>
    </x:row>
    <x:row r="246">
      <x:c r="A246" s="31"/>
      <x:c r="B246" s="31"/>
      <x:c r="C246" s="31"/>
      <x:c r="D246" s="31"/>
      <x:c r="E246" s="31"/>
      <x:c r="F246" s="31"/>
      <x:c r="G246" s="31"/>
      <x:c r="H246" s="31"/>
      <x:c r="I246" s="31"/>
      <x:c r="J246" s="31"/>
      <x:c r="K246" s="31"/>
      <x:c r="L246" s="39"/>
      <x:c r="M246" s="31"/>
      <x:c r="N246" s="31"/>
    </x:row>
    <x:row r="247">
      <x:c r="A247" s="31"/>
      <x:c r="B247" s="31"/>
      <x:c r="C247" s="31"/>
      <x:c r="D247" s="31"/>
      <x:c r="E247" s="31"/>
      <x:c r="F247" s="31"/>
      <x:c r="G247" s="31"/>
      <x:c r="H247" s="31"/>
      <x:c r="I247" s="31"/>
      <x:c r="J247" s="31"/>
      <x:c r="K247" s="31"/>
      <x:c r="L247" s="39"/>
      <x:c r="M247" s="31"/>
      <x:c r="N247" s="31"/>
    </x:row>
    <x:row r="248">
      <x:c r="A248" s="31"/>
      <x:c r="B248" s="31"/>
      <x:c r="C248" s="31"/>
      <x:c r="D248" s="31"/>
      <x:c r="E248" s="31"/>
      <x:c r="F248" s="31"/>
      <x:c r="G248" s="31"/>
      <x:c r="H248" s="31"/>
      <x:c r="I248" s="31"/>
      <x:c r="J248" s="31"/>
      <x:c r="K248" s="31"/>
      <x:c r="L248" s="39"/>
      <x:c r="M248" s="31"/>
      <x:c r="N248" s="31"/>
    </x:row>
    <x:row r="249">
      <x:c r="A249" s="31"/>
      <x:c r="B249" s="31"/>
      <x:c r="C249" s="31"/>
      <x:c r="D249" s="31"/>
      <x:c r="E249" s="31"/>
      <x:c r="F249" s="31"/>
      <x:c r="G249" s="31"/>
      <x:c r="H249" s="31"/>
      <x:c r="I249" s="31"/>
      <x:c r="J249" s="31"/>
      <x:c r="K249" s="31"/>
      <x:c r="L249" s="39"/>
      <x:c r="M249" s="31"/>
      <x:c r="N249" s="31"/>
    </x:row>
    <x:row r="250">
      <x:c r="A250" s="31"/>
      <x:c r="B250" s="31"/>
      <x:c r="C250" s="31"/>
      <x:c r="D250" s="31"/>
      <x:c r="E250" s="31"/>
      <x:c r="F250" s="31"/>
      <x:c r="G250" s="31"/>
      <x:c r="H250" s="31"/>
      <x:c r="I250" s="31"/>
      <x:c r="J250" s="31"/>
      <x:c r="K250" s="31"/>
      <x:c r="L250" s="39"/>
      <x:c r="M250" s="31"/>
      <x:c r="N250" s="31"/>
    </x:row>
  </x:sheetData>
  <x:mergeCells>
    <x:mergeCell ref="A1:N1"/>
  </x:mergeCells>
  <x:pageMargins left="0.7" right="0.7" top="0.75" bottom="0.75" header="0.3" footer="0.3"/>
  <x:tableParts count="1">
    <x:tablePart xmlns:r="http://schemas.openxmlformats.org/officeDocument/2006/relationships" r:id="R9db195b9ca6c478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8" hidden="0" customWidth="1"/>
    <x:col min="3" max="3" width="40" hidden="0" customWidth="1"/>
    <x:col min="4" max="4" width="30" hidden="0" customWidth="1"/>
    <x:col min="5" max="5" width="30" hidden="0" customWidth="1"/>
    <x:col min="6" max="6" width="20" hidden="0" customWidth="1"/>
    <x:col min="7" max="7" width="14" hidden="0" customWidth="1"/>
    <x:col min="8" max="8" width="14" hidden="0" customWidth="1"/>
    <x:col min="9" max="9" width="16" hidden="0" customWidth="1"/>
    <x:col min="10" max="10" width="15" hidden="0" customWidth="1"/>
    <x:col min="11" max="11" width="34" hidden="0" customWidth="1"/>
    <x:col min="12" max="12" width="32" hidden="0" customWidth="1"/>
  </x:cols>
  <x:sheetData>
    <x:row r="1" ht="30" customHeight="1">
      <x:c r="A1" s="30" t="str">
        <x:v>Releases &amp; Milestones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</x:row>
    <x:row r="2">
      <x:c r="A2" s="31"/>
      <x:c r="B2" s="31"/>
      <x:c r="C2" s="31"/>
      <x:c r="D2" s="31"/>
      <x:c r="E2" s="31"/>
      <x:c r="F2" s="31"/>
      <x:c r="G2" s="31"/>
      <x:c r="H2" s="31"/>
      <x:c r="I2" s="31"/>
      <x:c r="J2" s="31"/>
      <x:c r="K2" s="31"/>
      <x:c r="L2" s="31"/>
    </x:row>
    <x:row r="3">
      <x:c r="A3" s="36" t="str">
        <x:v>Release / Milestone</x:v>
      </x:c>
      <x:c r="B3" s="36" t="str">
        <x:v>Objective</x:v>
      </x:c>
      <x:c r="C3" s="36" t="str">
        <x:v>Scope</x:v>
      </x:c>
      <x:c r="D3" s="36" t="str">
        <x:v>Entry Criteria</x:v>
      </x:c>
      <x:c r="E3" s="36" t="str">
        <x:v>Exit Criteria</x:v>
      </x:c>
      <x:c r="F3" s="36" t="str">
        <x:v>Readiness</x:v>
      </x:c>
      <x:c r="G3" s="36" t="str">
        <x:v>Target Date</x:v>
      </x:c>
      <x:c r="H3" s="36" t="str">
        <x:v>Actual Date</x:v>
      </x:c>
      <x:c r="I3" s="36" t="str">
        <x:v>Owner</x:v>
      </x:c>
      <x:c r="J3" s="36" t="str">
        <x:v>Status</x:v>
      </x:c>
      <x:c r="K3" s="36" t="str">
        <x:v>Risks / Blockers</x:v>
      </x:c>
      <x:c r="L3" s="36" t="str">
        <x:v>Evidence</x:v>
      </x:c>
    </x:row>
    <x:row r="4">
      <x:c r="A4" s="31" t="str">
        <x:v>R1 — Production foundation</x:v>
      </x:c>
      <x:c r="B4" s="31" t="str">
        <x:v>Prove safe baseline</x:v>
      </x:c>
      <x:c r="C4" s="31" t="str">
        <x:v>Tenant tests, backup/restore, auth refresh hardening</x:v>
      </x:c>
      <x:c r="D4" s="31" t="str">
        <x:v>Isolated test environment approved</x:v>
      </x:c>
      <x:c r="E4" s="31" t="str">
        <x:v>Evidence attached; no critical blocker</x:v>
      </x:c>
      <x:c r="F4" s="31" t="str">
        <x:v>Not Ready</x:v>
      </x:c>
      <x:c r="G4" s="39"/>
      <x:c r="H4" s="39"/>
      <x:c r="I4" s="31" t="str">
        <x:v>Unassigned</x:v>
      </x:c>
      <x:c r="J4" s="31" t="str">
        <x:v>Planned</x:v>
      </x:c>
      <x:c r="K4" s="31" t="str">
        <x:v>No isolated test DB</x:v>
      </x:c>
      <x:c r="L4" s="31" t="str">
        <x:v>Populate evidence links after tests</x:v>
      </x:c>
    </x:row>
    <x:row r="5">
      <x:c r="A5" s="31" t="str">
        <x:v>R2 — HR core hardening</x:v>
      </x:c>
      <x:c r="B5" s="31" t="str">
        <x:v>Reduce workflow risk</x:v>
      </x:c>
      <x:c r="C5" s="31" t="str">
        <x:v>Leave/attendance/payroll and offboarding completion</x:v>
      </x:c>
      <x:c r="D5" s="31" t="str">
        <x:v>R1 baseline accepted</x:v>
      </x:c>
      <x:c r="E5" s="31" t="str">
        <x:v>Concurrency / integration pass</x:v>
      </x:c>
      <x:c r="F5" s="31" t="str">
        <x:v>Not Ready</x:v>
      </x:c>
      <x:c r="G5" s="39"/>
      <x:c r="H5" s="39"/>
      <x:c r="I5" s="31" t="str">
        <x:v>Unassigned</x:v>
      </x:c>
      <x:c r="J5" s="31" t="str">
        <x:v>Planned</x:v>
      </x:c>
      <x:c r="K5" s="31" t="str">
        <x:v>Atomicity approach unresolved</x:v>
      </x:c>
      <x:c r="L5" s="31" t="str">
        <x:v>Master tracker + test report</x:v>
      </x:c>
    </x:row>
    <x:row r="6">
      <x:c r="A6" s="31" t="str">
        <x:v>R3 — Recruitment governance</x:v>
      </x:c>
      <x:c r="B6" s="31" t="str">
        <x:v>Control access and pipeline</x:v>
      </x:c>
      <x:c r="C6" s="31" t="str">
        <x:v>Jobs authorization, transition matrix, public upload validation</x:v>
      </x:c>
      <x:c r="D6" s="31" t="str">
        <x:v>R2 lessons applied</x:v>
      </x:c>
      <x:c r="E6" s="31" t="str">
        <x:v>Security matrix and regression pass</x:v>
      </x:c>
      <x:c r="F6" s="31" t="str">
        <x:v>Not Ready</x:v>
      </x:c>
      <x:c r="G6" s="39"/>
      <x:c r="H6" s="39"/>
      <x:c r="I6" s="31" t="str">
        <x:v>Unassigned</x:v>
      </x:c>
      <x:c r="J6" s="31" t="str">
        <x:v>Planned</x:v>
      </x:c>
      <x:c r="K6" s="31" t="str">
        <x:v>Workflow decision required</x:v>
      </x:c>
      <x:c r="L6" s="31" t="str">
        <x:v>Security test report</x:v>
      </x:c>
    </x:row>
    <x:row r="7">
      <x:c r="A7" s="31" t="str">
        <x:v>R4 — Modular onboarding MVP</x:v>
      </x:c>
      <x:c r="B7" s="31" t="str">
        <x:v>Validate configurable product model</x:v>
      </x:c>
      <x:c r="C7" s="31" t="str">
        <x:v>Registration, stepper, module selection, capability map</x:v>
      </x:c>
      <x:c r="D7" s="31" t="str">
        <x:v>ADR and UX prototype approved</x:v>
      </x:c>
      <x:c r="E7" s="31" t="str">
        <x:v>Pilot tenant completes guided setup</x:v>
      </x:c>
      <x:c r="F7" s="31" t="str">
        <x:v>Not Ready</x:v>
      </x:c>
      <x:c r="G7" s="39"/>
      <x:c r="H7" s="39"/>
      <x:c r="I7" s="31" t="str">
        <x:v>Unassigned</x:v>
      </x:c>
      <x:c r="J7" s="31" t="str">
        <x:v>Planned</x:v>
      </x:c>
      <x:c r="K7" s="31" t="str">
        <x:v>Packaging/billing/entitlements unresolved</x:v>
      </x:c>
      <x:c r="L7" s="31" t="str">
        <x:v>Pilot feedback and audit log</x:v>
      </x:c>
    </x:row>
    <x:row r="8">
      <x:c r="A8" s="31"/>
      <x:c r="B8" s="31"/>
      <x:c r="C8" s="31"/>
      <x:c r="D8" s="31"/>
      <x:c r="E8" s="31"/>
      <x:c r="F8" s="31"/>
      <x:c r="G8" s="39"/>
      <x:c r="H8" s="39"/>
      <x:c r="I8" s="31"/>
      <x:c r="J8" s="31"/>
      <x:c r="K8" s="31"/>
      <x:c r="L8" s="31"/>
    </x:row>
    <x:row r="9">
      <x:c r="A9" s="31"/>
      <x:c r="B9" s="31"/>
      <x:c r="C9" s="31"/>
      <x:c r="D9" s="31"/>
      <x:c r="E9" s="31"/>
      <x:c r="F9" s="31"/>
      <x:c r="G9" s="39"/>
      <x:c r="H9" s="39"/>
      <x:c r="I9" s="31"/>
      <x:c r="J9" s="31"/>
      <x:c r="K9" s="31"/>
      <x:c r="L9" s="31"/>
    </x:row>
    <x:row r="10">
      <x:c r="A10" s="31"/>
      <x:c r="B10" s="31"/>
      <x:c r="C10" s="31"/>
      <x:c r="D10" s="31"/>
      <x:c r="E10" s="31"/>
      <x:c r="F10" s="31"/>
      <x:c r="G10" s="39"/>
      <x:c r="H10" s="39"/>
      <x:c r="I10" s="31"/>
      <x:c r="J10" s="31"/>
      <x:c r="K10" s="31"/>
      <x:c r="L10" s="31"/>
    </x:row>
    <x:row r="11">
      <x:c r="A11" s="31"/>
      <x:c r="B11" s="31"/>
      <x:c r="C11" s="31"/>
      <x:c r="D11" s="31"/>
      <x:c r="E11" s="31"/>
      <x:c r="F11" s="31"/>
      <x:c r="G11" s="39"/>
      <x:c r="H11" s="39"/>
      <x:c r="I11" s="31"/>
      <x:c r="J11" s="31"/>
      <x:c r="K11" s="31"/>
      <x:c r="L11" s="31"/>
    </x:row>
    <x:row r="12">
      <x:c r="A12" s="31"/>
      <x:c r="B12" s="31"/>
      <x:c r="C12" s="31"/>
      <x:c r="D12" s="31"/>
      <x:c r="E12" s="31"/>
      <x:c r="F12" s="31"/>
      <x:c r="G12" s="39"/>
      <x:c r="H12" s="39"/>
      <x:c r="I12" s="31"/>
      <x:c r="J12" s="31"/>
      <x:c r="K12" s="31"/>
      <x:c r="L12" s="31"/>
    </x:row>
    <x:row r="13">
      <x:c r="A13" s="31"/>
      <x:c r="B13" s="31"/>
      <x:c r="C13" s="31"/>
      <x:c r="D13" s="31"/>
      <x:c r="E13" s="31"/>
      <x:c r="F13" s="31"/>
      <x:c r="G13" s="39"/>
      <x:c r="H13" s="39"/>
      <x:c r="I13" s="31"/>
      <x:c r="J13" s="31"/>
      <x:c r="K13" s="31"/>
      <x:c r="L13" s="31"/>
    </x:row>
    <x:row r="14">
      <x:c r="A14" s="31"/>
      <x:c r="B14" s="31"/>
      <x:c r="C14" s="31"/>
      <x:c r="D14" s="31"/>
      <x:c r="E14" s="31"/>
      <x:c r="F14" s="31"/>
      <x:c r="G14" s="39"/>
      <x:c r="H14" s="39"/>
      <x:c r="I14" s="31"/>
      <x:c r="J14" s="31"/>
      <x:c r="K14" s="31"/>
      <x:c r="L14" s="31"/>
    </x:row>
    <x:row r="15">
      <x:c r="A15" s="31"/>
      <x:c r="B15" s="31"/>
      <x:c r="C15" s="31"/>
      <x:c r="D15" s="31"/>
      <x:c r="E15" s="31"/>
      <x:c r="F15" s="31"/>
      <x:c r="G15" s="39"/>
      <x:c r="H15" s="39"/>
      <x:c r="I15" s="31"/>
      <x:c r="J15" s="31"/>
      <x:c r="K15" s="31"/>
      <x:c r="L15" s="31"/>
    </x:row>
    <x:row r="16">
      <x:c r="A16" s="31"/>
      <x:c r="B16" s="31"/>
      <x:c r="C16" s="31"/>
      <x:c r="D16" s="31"/>
      <x:c r="E16" s="31"/>
      <x:c r="F16" s="31"/>
      <x:c r="G16" s="39"/>
      <x:c r="H16" s="39"/>
      <x:c r="I16" s="31"/>
      <x:c r="J16" s="31"/>
      <x:c r="K16" s="31"/>
      <x:c r="L16" s="31"/>
    </x:row>
    <x:row r="17">
      <x:c r="A17" s="31"/>
      <x:c r="B17" s="31"/>
      <x:c r="C17" s="31"/>
      <x:c r="D17" s="31"/>
      <x:c r="E17" s="31"/>
      <x:c r="F17" s="31"/>
      <x:c r="G17" s="39"/>
      <x:c r="H17" s="39"/>
      <x:c r="I17" s="31"/>
      <x:c r="J17" s="31"/>
      <x:c r="K17" s="31"/>
      <x:c r="L17" s="31"/>
    </x:row>
    <x:row r="18">
      <x:c r="A18" s="31"/>
      <x:c r="B18" s="31"/>
      <x:c r="C18" s="31"/>
      <x:c r="D18" s="31"/>
      <x:c r="E18" s="31"/>
      <x:c r="F18" s="31"/>
      <x:c r="G18" s="39"/>
      <x:c r="H18" s="39"/>
      <x:c r="I18" s="31"/>
      <x:c r="J18" s="31"/>
      <x:c r="K18" s="31"/>
      <x:c r="L18" s="31"/>
    </x:row>
    <x:row r="19">
      <x:c r="A19" s="31"/>
      <x:c r="B19" s="31"/>
      <x:c r="C19" s="31"/>
      <x:c r="D19" s="31"/>
      <x:c r="E19" s="31"/>
      <x:c r="F19" s="31"/>
      <x:c r="G19" s="39"/>
      <x:c r="H19" s="39"/>
      <x:c r="I19" s="31"/>
      <x:c r="J19" s="31"/>
      <x:c r="K19" s="31"/>
      <x:c r="L19" s="31"/>
    </x:row>
    <x:row r="20">
      <x:c r="A20" s="31"/>
      <x:c r="B20" s="31"/>
      <x:c r="C20" s="31"/>
      <x:c r="D20" s="31"/>
      <x:c r="E20" s="31"/>
      <x:c r="F20" s="31"/>
      <x:c r="G20" s="39"/>
      <x:c r="H20" s="39"/>
      <x:c r="I20" s="31"/>
      <x:c r="J20" s="31"/>
      <x:c r="K20" s="31"/>
      <x:c r="L20" s="31"/>
    </x:row>
    <x:row r="21">
      <x:c r="A21" s="31"/>
      <x:c r="B21" s="31"/>
      <x:c r="C21" s="31"/>
      <x:c r="D21" s="31"/>
      <x:c r="E21" s="31"/>
      <x:c r="F21" s="31"/>
      <x:c r="G21" s="39"/>
      <x:c r="H21" s="39"/>
      <x:c r="I21" s="31"/>
      <x:c r="J21" s="31"/>
      <x:c r="K21" s="31"/>
      <x:c r="L21" s="31"/>
    </x:row>
    <x:row r="22">
      <x:c r="A22" s="31"/>
      <x:c r="B22" s="31"/>
      <x:c r="C22" s="31"/>
      <x:c r="D22" s="31"/>
      <x:c r="E22" s="31"/>
      <x:c r="F22" s="31"/>
      <x:c r="G22" s="39"/>
      <x:c r="H22" s="39"/>
      <x:c r="I22" s="31"/>
      <x:c r="J22" s="31"/>
      <x:c r="K22" s="31"/>
      <x:c r="L22" s="31"/>
    </x:row>
    <x:row r="23">
      <x:c r="A23" s="31"/>
      <x:c r="B23" s="31"/>
      <x:c r="C23" s="31"/>
      <x:c r="D23" s="31"/>
      <x:c r="E23" s="31"/>
      <x:c r="F23" s="31"/>
      <x:c r="G23" s="39"/>
      <x:c r="H23" s="39"/>
      <x:c r="I23" s="31"/>
      <x:c r="J23" s="31"/>
      <x:c r="K23" s="31"/>
      <x:c r="L23" s="31"/>
    </x:row>
    <x:row r="24">
      <x:c r="A24" s="31"/>
      <x:c r="B24" s="31"/>
      <x:c r="C24" s="31"/>
      <x:c r="D24" s="31"/>
      <x:c r="E24" s="31"/>
      <x:c r="F24" s="31"/>
      <x:c r="G24" s="39"/>
      <x:c r="H24" s="39"/>
      <x:c r="I24" s="31"/>
      <x:c r="J24" s="31"/>
      <x:c r="K24" s="31"/>
      <x:c r="L24" s="31"/>
    </x:row>
    <x:row r="25">
      <x:c r="A25" s="31"/>
      <x:c r="B25" s="31"/>
      <x:c r="C25" s="31"/>
      <x:c r="D25" s="31"/>
      <x:c r="E25" s="31"/>
      <x:c r="F25" s="31"/>
      <x:c r="G25" s="39"/>
      <x:c r="H25" s="39"/>
      <x:c r="I25" s="31"/>
      <x:c r="J25" s="31"/>
      <x:c r="K25" s="31"/>
      <x:c r="L25" s="31"/>
    </x:row>
    <x:row r="26">
      <x:c r="A26" s="31"/>
      <x:c r="B26" s="31"/>
      <x:c r="C26" s="31"/>
      <x:c r="D26" s="31"/>
      <x:c r="E26" s="31"/>
      <x:c r="F26" s="31"/>
      <x:c r="G26" s="39"/>
      <x:c r="H26" s="39"/>
      <x:c r="I26" s="31"/>
      <x:c r="J26" s="31"/>
      <x:c r="K26" s="31"/>
      <x:c r="L26" s="31"/>
    </x:row>
    <x:row r="27">
      <x:c r="A27" s="31"/>
      <x:c r="B27" s="31"/>
      <x:c r="C27" s="31"/>
      <x:c r="D27" s="31"/>
      <x:c r="E27" s="31"/>
      <x:c r="F27" s="31"/>
      <x:c r="G27" s="39"/>
      <x:c r="H27" s="39"/>
      <x:c r="I27" s="31"/>
      <x:c r="J27" s="31"/>
      <x:c r="K27" s="31"/>
      <x:c r="L27" s="31"/>
    </x:row>
    <x:row r="28">
      <x:c r="A28" s="31"/>
      <x:c r="B28" s="31"/>
      <x:c r="C28" s="31"/>
      <x:c r="D28" s="31"/>
      <x:c r="E28" s="31"/>
      <x:c r="F28" s="31"/>
      <x:c r="G28" s="39"/>
      <x:c r="H28" s="39"/>
      <x:c r="I28" s="31"/>
      <x:c r="J28" s="31"/>
      <x:c r="K28" s="31"/>
      <x:c r="L28" s="31"/>
    </x:row>
    <x:row r="29">
      <x:c r="A29" s="31"/>
      <x:c r="B29" s="31"/>
      <x:c r="C29" s="31"/>
      <x:c r="D29" s="31"/>
      <x:c r="E29" s="31"/>
      <x:c r="F29" s="31"/>
      <x:c r="G29" s="39"/>
      <x:c r="H29" s="39"/>
      <x:c r="I29" s="31"/>
      <x:c r="J29" s="31"/>
      <x:c r="K29" s="31"/>
      <x:c r="L29" s="31"/>
    </x:row>
    <x:row r="30">
      <x:c r="A30" s="31"/>
      <x:c r="B30" s="31"/>
      <x:c r="C30" s="31"/>
      <x:c r="D30" s="31"/>
      <x:c r="E30" s="31"/>
      <x:c r="F30" s="31"/>
      <x:c r="G30" s="39"/>
      <x:c r="H30" s="39"/>
      <x:c r="I30" s="31"/>
      <x:c r="J30" s="31"/>
      <x:c r="K30" s="31"/>
      <x:c r="L30" s="31"/>
    </x:row>
    <x:row r="31">
      <x:c r="A31" s="31"/>
      <x:c r="B31" s="31"/>
      <x:c r="C31" s="31"/>
      <x:c r="D31" s="31"/>
      <x:c r="E31" s="31"/>
      <x:c r="F31" s="31"/>
      <x:c r="G31" s="39"/>
      <x:c r="H31" s="39"/>
      <x:c r="I31" s="31"/>
      <x:c r="J31" s="31"/>
      <x:c r="K31" s="31"/>
      <x:c r="L31" s="31"/>
    </x:row>
    <x:row r="32">
      <x:c r="A32" s="31"/>
      <x:c r="B32" s="31"/>
      <x:c r="C32" s="31"/>
      <x:c r="D32" s="31"/>
      <x:c r="E32" s="31"/>
      <x:c r="F32" s="31"/>
      <x:c r="G32" s="39"/>
      <x:c r="H32" s="39"/>
      <x:c r="I32" s="31"/>
      <x:c r="J32" s="31"/>
      <x:c r="K32" s="31"/>
      <x:c r="L32" s="31"/>
    </x:row>
    <x:row r="33">
      <x:c r="A33" s="31"/>
      <x:c r="B33" s="31"/>
      <x:c r="C33" s="31"/>
      <x:c r="D33" s="31"/>
      <x:c r="E33" s="31"/>
      <x:c r="F33" s="31"/>
      <x:c r="G33" s="39"/>
      <x:c r="H33" s="39"/>
      <x:c r="I33" s="31"/>
      <x:c r="J33" s="31"/>
      <x:c r="K33" s="31"/>
      <x:c r="L33" s="31"/>
    </x:row>
    <x:row r="34">
      <x:c r="A34" s="31"/>
      <x:c r="B34" s="31"/>
      <x:c r="C34" s="31"/>
      <x:c r="D34" s="31"/>
      <x:c r="E34" s="31"/>
      <x:c r="F34" s="31"/>
      <x:c r="G34" s="39"/>
      <x:c r="H34" s="39"/>
      <x:c r="I34" s="31"/>
      <x:c r="J34" s="31"/>
      <x:c r="K34" s="31"/>
      <x:c r="L34" s="31"/>
    </x:row>
    <x:row r="35">
      <x:c r="A35" s="31"/>
      <x:c r="B35" s="31"/>
      <x:c r="C35" s="31"/>
      <x:c r="D35" s="31"/>
      <x:c r="E35" s="31"/>
      <x:c r="F35" s="31"/>
      <x:c r="G35" s="39"/>
      <x:c r="H35" s="39"/>
      <x:c r="I35" s="31"/>
      <x:c r="J35" s="31"/>
      <x:c r="K35" s="31"/>
      <x:c r="L35" s="31"/>
    </x:row>
    <x:row r="36">
      <x:c r="A36" s="31"/>
      <x:c r="B36" s="31"/>
      <x:c r="C36" s="31"/>
      <x:c r="D36" s="31"/>
      <x:c r="E36" s="31"/>
      <x:c r="F36" s="31"/>
      <x:c r="G36" s="39"/>
      <x:c r="H36" s="39"/>
      <x:c r="I36" s="31"/>
      <x:c r="J36" s="31"/>
      <x:c r="K36" s="31"/>
      <x:c r="L36" s="31"/>
    </x:row>
    <x:row r="37">
      <x:c r="A37" s="31"/>
      <x:c r="B37" s="31"/>
      <x:c r="C37" s="31"/>
      <x:c r="D37" s="31"/>
      <x:c r="E37" s="31"/>
      <x:c r="F37" s="31"/>
      <x:c r="G37" s="39"/>
      <x:c r="H37" s="39"/>
      <x:c r="I37" s="31"/>
      <x:c r="J37" s="31"/>
      <x:c r="K37" s="31"/>
      <x:c r="L37" s="31"/>
    </x:row>
    <x:row r="38">
      <x:c r="A38" s="31"/>
      <x:c r="B38" s="31"/>
      <x:c r="C38" s="31"/>
      <x:c r="D38" s="31"/>
      <x:c r="E38" s="31"/>
      <x:c r="F38" s="31"/>
      <x:c r="G38" s="39"/>
      <x:c r="H38" s="39"/>
      <x:c r="I38" s="31"/>
      <x:c r="J38" s="31"/>
      <x:c r="K38" s="31"/>
      <x:c r="L38" s="31"/>
    </x:row>
    <x:row r="39">
      <x:c r="A39" s="31"/>
      <x:c r="B39" s="31"/>
      <x:c r="C39" s="31"/>
      <x:c r="D39" s="31"/>
      <x:c r="E39" s="31"/>
      <x:c r="F39" s="31"/>
      <x:c r="G39" s="39"/>
      <x:c r="H39" s="39"/>
      <x:c r="I39" s="31"/>
      <x:c r="J39" s="31"/>
      <x:c r="K39" s="31"/>
      <x:c r="L39" s="31"/>
    </x:row>
    <x:row r="40">
      <x:c r="A40" s="31"/>
      <x:c r="B40" s="31"/>
      <x:c r="C40" s="31"/>
      <x:c r="D40" s="31"/>
      <x:c r="E40" s="31"/>
      <x:c r="F40" s="31"/>
      <x:c r="G40" s="39"/>
      <x:c r="H40" s="39"/>
      <x:c r="I40" s="31"/>
      <x:c r="J40" s="31"/>
      <x:c r="K40" s="31"/>
      <x:c r="L40" s="31"/>
    </x:row>
    <x:row r="41">
      <x:c r="A41" s="31"/>
      <x:c r="B41" s="31"/>
      <x:c r="C41" s="31"/>
      <x:c r="D41" s="31"/>
      <x:c r="E41" s="31"/>
      <x:c r="F41" s="31"/>
      <x:c r="G41" s="39"/>
      <x:c r="H41" s="39"/>
      <x:c r="I41" s="31"/>
      <x:c r="J41" s="31"/>
      <x:c r="K41" s="31"/>
      <x:c r="L41" s="31"/>
    </x:row>
    <x:row r="42">
      <x:c r="A42" s="31"/>
      <x:c r="B42" s="31"/>
      <x:c r="C42" s="31"/>
      <x:c r="D42" s="31"/>
      <x:c r="E42" s="31"/>
      <x:c r="F42" s="31"/>
      <x:c r="G42" s="39"/>
      <x:c r="H42" s="39"/>
      <x:c r="I42" s="31"/>
      <x:c r="J42" s="31"/>
      <x:c r="K42" s="31"/>
      <x:c r="L42" s="31"/>
    </x:row>
    <x:row r="43">
      <x:c r="A43" s="31"/>
      <x:c r="B43" s="31"/>
      <x:c r="C43" s="31"/>
      <x:c r="D43" s="31"/>
      <x:c r="E43" s="31"/>
      <x:c r="F43" s="31"/>
      <x:c r="G43" s="39"/>
      <x:c r="H43" s="39"/>
      <x:c r="I43" s="31"/>
      <x:c r="J43" s="31"/>
      <x:c r="K43" s="31"/>
      <x:c r="L43" s="31"/>
    </x:row>
    <x:row r="44">
      <x:c r="A44" s="31"/>
      <x:c r="B44" s="31"/>
      <x:c r="C44" s="31"/>
      <x:c r="D44" s="31"/>
      <x:c r="E44" s="31"/>
      <x:c r="F44" s="31"/>
      <x:c r="G44" s="39"/>
      <x:c r="H44" s="39"/>
      <x:c r="I44" s="31"/>
      <x:c r="J44" s="31"/>
      <x:c r="K44" s="31"/>
      <x:c r="L44" s="31"/>
    </x:row>
    <x:row r="45">
      <x:c r="A45" s="31"/>
      <x:c r="B45" s="31"/>
      <x:c r="C45" s="31"/>
      <x:c r="D45" s="31"/>
      <x:c r="E45" s="31"/>
      <x:c r="F45" s="31"/>
      <x:c r="G45" s="39"/>
      <x:c r="H45" s="39"/>
      <x:c r="I45" s="31"/>
      <x:c r="J45" s="31"/>
      <x:c r="K45" s="31"/>
      <x:c r="L45" s="31"/>
    </x:row>
    <x:row r="46">
      <x:c r="A46" s="31"/>
      <x:c r="B46" s="31"/>
      <x:c r="C46" s="31"/>
      <x:c r="D46" s="31"/>
      <x:c r="E46" s="31"/>
      <x:c r="F46" s="31"/>
      <x:c r="G46" s="39"/>
      <x:c r="H46" s="39"/>
      <x:c r="I46" s="31"/>
      <x:c r="J46" s="31"/>
      <x:c r="K46" s="31"/>
      <x:c r="L46" s="31"/>
    </x:row>
    <x:row r="47">
      <x:c r="A47" s="31"/>
      <x:c r="B47" s="31"/>
      <x:c r="C47" s="31"/>
      <x:c r="D47" s="31"/>
      <x:c r="E47" s="31"/>
      <x:c r="F47" s="31"/>
      <x:c r="G47" s="39"/>
      <x:c r="H47" s="39"/>
      <x:c r="I47" s="31"/>
      <x:c r="J47" s="31"/>
      <x:c r="K47" s="31"/>
      <x:c r="L47" s="31"/>
    </x:row>
    <x:row r="48">
      <x:c r="A48" s="31"/>
      <x:c r="B48" s="31"/>
      <x:c r="C48" s="31"/>
      <x:c r="D48" s="31"/>
      <x:c r="E48" s="31"/>
      <x:c r="F48" s="31"/>
      <x:c r="G48" s="39"/>
      <x:c r="H48" s="39"/>
      <x:c r="I48" s="31"/>
      <x:c r="J48" s="31"/>
      <x:c r="K48" s="31"/>
      <x:c r="L48" s="31"/>
    </x:row>
    <x:row r="49">
      <x:c r="A49" s="31"/>
      <x:c r="B49" s="31"/>
      <x:c r="C49" s="31"/>
      <x:c r="D49" s="31"/>
      <x:c r="E49" s="31"/>
      <x:c r="F49" s="31"/>
      <x:c r="G49" s="39"/>
      <x:c r="H49" s="39"/>
      <x:c r="I49" s="31"/>
      <x:c r="J49" s="31"/>
      <x:c r="K49" s="31"/>
      <x:c r="L49" s="31"/>
    </x:row>
    <x:row r="50">
      <x:c r="A50" s="31"/>
      <x:c r="B50" s="31"/>
      <x:c r="C50" s="31"/>
      <x:c r="D50" s="31"/>
      <x:c r="E50" s="31"/>
      <x:c r="F50" s="31"/>
      <x:c r="G50" s="39"/>
      <x:c r="H50" s="39"/>
      <x:c r="I50" s="31"/>
      <x:c r="J50" s="31"/>
      <x:c r="K50" s="31"/>
      <x:c r="L50" s="31"/>
    </x:row>
    <x:row r="51">
      <x:c r="A51" s="31"/>
      <x:c r="B51" s="31"/>
      <x:c r="C51" s="31"/>
      <x:c r="D51" s="31"/>
      <x:c r="E51" s="31"/>
      <x:c r="F51" s="31"/>
      <x:c r="G51" s="39"/>
      <x:c r="H51" s="39"/>
      <x:c r="I51" s="31"/>
      <x:c r="J51" s="31"/>
      <x:c r="K51" s="31"/>
      <x:c r="L51" s="31"/>
    </x:row>
    <x:row r="52">
      <x:c r="A52" s="31"/>
      <x:c r="B52" s="31"/>
      <x:c r="C52" s="31"/>
      <x:c r="D52" s="31"/>
      <x:c r="E52" s="31"/>
      <x:c r="F52" s="31"/>
      <x:c r="G52" s="39"/>
      <x:c r="H52" s="39"/>
      <x:c r="I52" s="31"/>
      <x:c r="J52" s="31"/>
      <x:c r="K52" s="31"/>
      <x:c r="L52" s="31"/>
    </x:row>
    <x:row r="53">
      <x:c r="A53" s="31"/>
      <x:c r="B53" s="31"/>
      <x:c r="C53" s="31"/>
      <x:c r="D53" s="31"/>
      <x:c r="E53" s="31"/>
      <x:c r="F53" s="31"/>
      <x:c r="G53" s="39"/>
      <x:c r="H53" s="39"/>
      <x:c r="I53" s="31"/>
      <x:c r="J53" s="31"/>
      <x:c r="K53" s="31"/>
      <x:c r="L53" s="31"/>
    </x:row>
    <x:row r="54">
      <x:c r="A54" s="31"/>
      <x:c r="B54" s="31"/>
      <x:c r="C54" s="31"/>
      <x:c r="D54" s="31"/>
      <x:c r="E54" s="31"/>
      <x:c r="F54" s="31"/>
      <x:c r="G54" s="39"/>
      <x:c r="H54" s="39"/>
      <x:c r="I54" s="31"/>
      <x:c r="J54" s="31"/>
      <x:c r="K54" s="31"/>
      <x:c r="L54" s="31"/>
    </x:row>
    <x:row r="55">
      <x:c r="A55" s="31"/>
      <x:c r="B55" s="31"/>
      <x:c r="C55" s="31"/>
      <x:c r="D55" s="31"/>
      <x:c r="E55" s="31"/>
      <x:c r="F55" s="31"/>
      <x:c r="G55" s="39"/>
      <x:c r="H55" s="39"/>
      <x:c r="I55" s="31"/>
      <x:c r="J55" s="31"/>
      <x:c r="K55" s="31"/>
      <x:c r="L55" s="31"/>
    </x:row>
    <x:row r="56">
      <x:c r="A56" s="31"/>
      <x:c r="B56" s="31"/>
      <x:c r="C56" s="31"/>
      <x:c r="D56" s="31"/>
      <x:c r="E56" s="31"/>
      <x:c r="F56" s="31"/>
      <x:c r="G56" s="39"/>
      <x:c r="H56" s="39"/>
      <x:c r="I56" s="31"/>
      <x:c r="J56" s="31"/>
      <x:c r="K56" s="31"/>
      <x:c r="L56" s="31"/>
    </x:row>
    <x:row r="57">
      <x:c r="A57" s="31"/>
      <x:c r="B57" s="31"/>
      <x:c r="C57" s="31"/>
      <x:c r="D57" s="31"/>
      <x:c r="E57" s="31"/>
      <x:c r="F57" s="31"/>
      <x:c r="G57" s="39"/>
      <x:c r="H57" s="39"/>
      <x:c r="I57" s="31"/>
      <x:c r="J57" s="31"/>
      <x:c r="K57" s="31"/>
      <x:c r="L57" s="31"/>
    </x:row>
    <x:row r="58">
      <x:c r="A58" s="31"/>
      <x:c r="B58" s="31"/>
      <x:c r="C58" s="31"/>
      <x:c r="D58" s="31"/>
      <x:c r="E58" s="31"/>
      <x:c r="F58" s="31"/>
      <x:c r="G58" s="39"/>
      <x:c r="H58" s="39"/>
      <x:c r="I58" s="31"/>
      <x:c r="J58" s="31"/>
      <x:c r="K58" s="31"/>
      <x:c r="L58" s="31"/>
    </x:row>
    <x:row r="59">
      <x:c r="A59" s="31"/>
      <x:c r="B59" s="31"/>
      <x:c r="C59" s="31"/>
      <x:c r="D59" s="31"/>
      <x:c r="E59" s="31"/>
      <x:c r="F59" s="31"/>
      <x:c r="G59" s="39"/>
      <x:c r="H59" s="39"/>
      <x:c r="I59" s="31"/>
      <x:c r="J59" s="31"/>
      <x:c r="K59" s="31"/>
      <x:c r="L59" s="31"/>
    </x:row>
    <x:row r="60">
      <x:c r="A60" s="31"/>
      <x:c r="B60" s="31"/>
      <x:c r="C60" s="31"/>
      <x:c r="D60" s="31"/>
      <x:c r="E60" s="31"/>
      <x:c r="F60" s="31"/>
      <x:c r="G60" s="39"/>
      <x:c r="H60" s="39"/>
      <x:c r="I60" s="31"/>
      <x:c r="J60" s="31"/>
      <x:c r="K60" s="31"/>
      <x:c r="L60" s="31"/>
    </x:row>
    <x:row r="61">
      <x:c r="A61" s="31"/>
      <x:c r="B61" s="31"/>
      <x:c r="C61" s="31"/>
      <x:c r="D61" s="31"/>
      <x:c r="E61" s="31"/>
      <x:c r="F61" s="31"/>
      <x:c r="G61" s="39"/>
      <x:c r="H61" s="39"/>
      <x:c r="I61" s="31"/>
      <x:c r="J61" s="31"/>
      <x:c r="K61" s="31"/>
      <x:c r="L61" s="31"/>
    </x:row>
    <x:row r="62">
      <x:c r="A62" s="31"/>
      <x:c r="B62" s="31"/>
      <x:c r="C62" s="31"/>
      <x:c r="D62" s="31"/>
      <x:c r="E62" s="31"/>
      <x:c r="F62" s="31"/>
      <x:c r="G62" s="39"/>
      <x:c r="H62" s="39"/>
      <x:c r="I62" s="31"/>
      <x:c r="J62" s="31"/>
      <x:c r="K62" s="31"/>
      <x:c r="L62" s="31"/>
    </x:row>
    <x:row r="63">
      <x:c r="A63" s="31"/>
      <x:c r="B63" s="31"/>
      <x:c r="C63" s="31"/>
      <x:c r="D63" s="31"/>
      <x:c r="E63" s="31"/>
      <x:c r="F63" s="31"/>
      <x:c r="G63" s="39"/>
      <x:c r="H63" s="39"/>
      <x:c r="I63" s="31"/>
      <x:c r="J63" s="31"/>
      <x:c r="K63" s="31"/>
      <x:c r="L63" s="31"/>
    </x:row>
    <x:row r="64">
      <x:c r="A64" s="31"/>
      <x:c r="B64" s="31"/>
      <x:c r="C64" s="31"/>
      <x:c r="D64" s="31"/>
      <x:c r="E64" s="31"/>
      <x:c r="F64" s="31"/>
      <x:c r="G64" s="39"/>
      <x:c r="H64" s="39"/>
      <x:c r="I64" s="31"/>
      <x:c r="J64" s="31"/>
      <x:c r="K64" s="31"/>
      <x:c r="L64" s="31"/>
    </x:row>
    <x:row r="65">
      <x:c r="A65" s="31"/>
      <x:c r="B65" s="31"/>
      <x:c r="C65" s="31"/>
      <x:c r="D65" s="31"/>
      <x:c r="E65" s="31"/>
      <x:c r="F65" s="31"/>
      <x:c r="G65" s="39"/>
      <x:c r="H65" s="39"/>
      <x:c r="I65" s="31"/>
      <x:c r="J65" s="31"/>
      <x:c r="K65" s="31"/>
      <x:c r="L65" s="31"/>
    </x:row>
    <x:row r="66">
      <x:c r="A66" s="31"/>
      <x:c r="B66" s="31"/>
      <x:c r="C66" s="31"/>
      <x:c r="D66" s="31"/>
      <x:c r="E66" s="31"/>
      <x:c r="F66" s="31"/>
      <x:c r="G66" s="39"/>
      <x:c r="H66" s="39"/>
      <x:c r="I66" s="31"/>
      <x:c r="J66" s="31"/>
      <x:c r="K66" s="31"/>
      <x:c r="L66" s="31"/>
    </x:row>
    <x:row r="67">
      <x:c r="A67" s="31"/>
      <x:c r="B67" s="31"/>
      <x:c r="C67" s="31"/>
      <x:c r="D67" s="31"/>
      <x:c r="E67" s="31"/>
      <x:c r="F67" s="31"/>
      <x:c r="G67" s="39"/>
      <x:c r="H67" s="39"/>
      <x:c r="I67" s="31"/>
      <x:c r="J67" s="31"/>
      <x:c r="K67" s="31"/>
      <x:c r="L67" s="31"/>
    </x:row>
    <x:row r="68">
      <x:c r="A68" s="31"/>
      <x:c r="B68" s="31"/>
      <x:c r="C68" s="31"/>
      <x:c r="D68" s="31"/>
      <x:c r="E68" s="31"/>
      <x:c r="F68" s="31"/>
      <x:c r="G68" s="39"/>
      <x:c r="H68" s="39"/>
      <x:c r="I68" s="31"/>
      <x:c r="J68" s="31"/>
      <x:c r="K68" s="31"/>
      <x:c r="L68" s="31"/>
    </x:row>
    <x:row r="69">
      <x:c r="A69" s="31"/>
      <x:c r="B69" s="31"/>
      <x:c r="C69" s="31"/>
      <x:c r="D69" s="31"/>
      <x:c r="E69" s="31"/>
      <x:c r="F69" s="31"/>
      <x:c r="G69" s="39"/>
      <x:c r="H69" s="39"/>
      <x:c r="I69" s="31"/>
      <x:c r="J69" s="31"/>
      <x:c r="K69" s="31"/>
      <x:c r="L69" s="31"/>
    </x:row>
    <x:row r="70">
      <x:c r="A70" s="31"/>
      <x:c r="B70" s="31"/>
      <x:c r="C70" s="31"/>
      <x:c r="D70" s="31"/>
      <x:c r="E70" s="31"/>
      <x:c r="F70" s="31"/>
      <x:c r="G70" s="39"/>
      <x:c r="H70" s="39"/>
      <x:c r="I70" s="31"/>
      <x:c r="J70" s="31"/>
      <x:c r="K70" s="31"/>
      <x:c r="L70" s="31"/>
    </x:row>
    <x:row r="71">
      <x:c r="A71" s="31"/>
      <x:c r="B71" s="31"/>
      <x:c r="C71" s="31"/>
      <x:c r="D71" s="31"/>
      <x:c r="E71" s="31"/>
      <x:c r="F71" s="31"/>
      <x:c r="G71" s="39"/>
      <x:c r="H71" s="39"/>
      <x:c r="I71" s="31"/>
      <x:c r="J71" s="31"/>
      <x:c r="K71" s="31"/>
      <x:c r="L71" s="31"/>
    </x:row>
    <x:row r="72">
      <x:c r="A72" s="31"/>
      <x:c r="B72" s="31"/>
      <x:c r="C72" s="31"/>
      <x:c r="D72" s="31"/>
      <x:c r="E72" s="31"/>
      <x:c r="F72" s="31"/>
      <x:c r="G72" s="39"/>
      <x:c r="H72" s="39"/>
      <x:c r="I72" s="31"/>
      <x:c r="J72" s="31"/>
      <x:c r="K72" s="31"/>
      <x:c r="L72" s="31"/>
    </x:row>
    <x:row r="73">
      <x:c r="A73" s="31"/>
      <x:c r="B73" s="31"/>
      <x:c r="C73" s="31"/>
      <x:c r="D73" s="31"/>
      <x:c r="E73" s="31"/>
      <x:c r="F73" s="31"/>
      <x:c r="G73" s="39"/>
      <x:c r="H73" s="39"/>
      <x:c r="I73" s="31"/>
      <x:c r="J73" s="31"/>
      <x:c r="K73" s="31"/>
      <x:c r="L73" s="31"/>
    </x:row>
    <x:row r="74">
      <x:c r="A74" s="31"/>
      <x:c r="B74" s="31"/>
      <x:c r="C74" s="31"/>
      <x:c r="D74" s="31"/>
      <x:c r="E74" s="31"/>
      <x:c r="F74" s="31"/>
      <x:c r="G74" s="39"/>
      <x:c r="H74" s="39"/>
      <x:c r="I74" s="31"/>
      <x:c r="J74" s="31"/>
      <x:c r="K74" s="31"/>
      <x:c r="L74" s="31"/>
    </x:row>
    <x:row r="75">
      <x:c r="A75" s="31"/>
      <x:c r="B75" s="31"/>
      <x:c r="C75" s="31"/>
      <x:c r="D75" s="31"/>
      <x:c r="E75" s="31"/>
      <x:c r="F75" s="31"/>
      <x:c r="G75" s="39"/>
      <x:c r="H75" s="39"/>
      <x:c r="I75" s="31"/>
      <x:c r="J75" s="31"/>
      <x:c r="K75" s="31"/>
      <x:c r="L75" s="31"/>
    </x:row>
    <x:row r="76">
      <x:c r="A76" s="31"/>
      <x:c r="B76" s="31"/>
      <x:c r="C76" s="31"/>
      <x:c r="D76" s="31"/>
      <x:c r="E76" s="31"/>
      <x:c r="F76" s="31"/>
      <x:c r="G76" s="39"/>
      <x:c r="H76" s="39"/>
      <x:c r="I76" s="31"/>
      <x:c r="J76" s="31"/>
      <x:c r="K76" s="31"/>
      <x:c r="L76" s="31"/>
    </x:row>
    <x:row r="77">
      <x:c r="A77" s="31"/>
      <x:c r="B77" s="31"/>
      <x:c r="C77" s="31"/>
      <x:c r="D77" s="31"/>
      <x:c r="E77" s="31"/>
      <x:c r="F77" s="31"/>
      <x:c r="G77" s="39"/>
      <x:c r="H77" s="39"/>
      <x:c r="I77" s="31"/>
      <x:c r="J77" s="31"/>
      <x:c r="K77" s="31"/>
      <x:c r="L77" s="31"/>
    </x:row>
    <x:row r="78">
      <x:c r="A78" s="31"/>
      <x:c r="B78" s="31"/>
      <x:c r="C78" s="31"/>
      <x:c r="D78" s="31"/>
      <x:c r="E78" s="31"/>
      <x:c r="F78" s="31"/>
      <x:c r="G78" s="39"/>
      <x:c r="H78" s="39"/>
      <x:c r="I78" s="31"/>
      <x:c r="J78" s="31"/>
      <x:c r="K78" s="31"/>
      <x:c r="L78" s="31"/>
    </x:row>
    <x:row r="79">
      <x:c r="A79" s="31"/>
      <x:c r="B79" s="31"/>
      <x:c r="C79" s="31"/>
      <x:c r="D79" s="31"/>
      <x:c r="E79" s="31"/>
      <x:c r="F79" s="31"/>
      <x:c r="G79" s="39"/>
      <x:c r="H79" s="39"/>
      <x:c r="I79" s="31"/>
      <x:c r="J79" s="31"/>
      <x:c r="K79" s="31"/>
      <x:c r="L79" s="31"/>
    </x:row>
    <x:row r="80">
      <x:c r="A80" s="31"/>
      <x:c r="B80" s="31"/>
      <x:c r="C80" s="31"/>
      <x:c r="D80" s="31"/>
      <x:c r="E80" s="31"/>
      <x:c r="F80" s="31"/>
      <x:c r="G80" s="39"/>
      <x:c r="H80" s="39"/>
      <x:c r="I80" s="31"/>
      <x:c r="J80" s="31"/>
      <x:c r="K80" s="31"/>
      <x:c r="L80" s="31"/>
    </x:row>
    <x:row r="81">
      <x:c r="A81" s="31"/>
      <x:c r="B81" s="31"/>
      <x:c r="C81" s="31"/>
      <x:c r="D81" s="31"/>
      <x:c r="E81" s="31"/>
      <x:c r="F81" s="31"/>
      <x:c r="G81" s="39"/>
      <x:c r="H81" s="39"/>
      <x:c r="I81" s="31"/>
      <x:c r="J81" s="31"/>
      <x:c r="K81" s="31"/>
      <x:c r="L81" s="31"/>
    </x:row>
    <x:row r="82">
      <x:c r="A82" s="31"/>
      <x:c r="B82" s="31"/>
      <x:c r="C82" s="31"/>
      <x:c r="D82" s="31"/>
      <x:c r="E82" s="31"/>
      <x:c r="F82" s="31"/>
      <x:c r="G82" s="39"/>
      <x:c r="H82" s="39"/>
      <x:c r="I82" s="31"/>
      <x:c r="J82" s="31"/>
      <x:c r="K82" s="31"/>
      <x:c r="L82" s="31"/>
    </x:row>
    <x:row r="83">
      <x:c r="A83" s="31"/>
      <x:c r="B83" s="31"/>
      <x:c r="C83" s="31"/>
      <x:c r="D83" s="31"/>
      <x:c r="E83" s="31"/>
      <x:c r="F83" s="31"/>
      <x:c r="G83" s="39"/>
      <x:c r="H83" s="39"/>
      <x:c r="I83" s="31"/>
      <x:c r="J83" s="31"/>
      <x:c r="K83" s="31"/>
      <x:c r="L83" s="31"/>
    </x:row>
    <x:row r="84">
      <x:c r="A84" s="31"/>
      <x:c r="B84" s="31"/>
      <x:c r="C84" s="31"/>
      <x:c r="D84" s="31"/>
      <x:c r="E84" s="31"/>
      <x:c r="F84" s="31"/>
      <x:c r="G84" s="39"/>
      <x:c r="H84" s="39"/>
      <x:c r="I84" s="31"/>
      <x:c r="J84" s="31"/>
      <x:c r="K84" s="31"/>
      <x:c r="L84" s="31"/>
    </x:row>
    <x:row r="85">
      <x:c r="A85" s="31"/>
      <x:c r="B85" s="31"/>
      <x:c r="C85" s="31"/>
      <x:c r="D85" s="31"/>
      <x:c r="E85" s="31"/>
      <x:c r="F85" s="31"/>
      <x:c r="G85" s="39"/>
      <x:c r="H85" s="39"/>
      <x:c r="I85" s="31"/>
      <x:c r="J85" s="31"/>
      <x:c r="K85" s="31"/>
      <x:c r="L85" s="31"/>
    </x:row>
    <x:row r="86">
      <x:c r="A86" s="31"/>
      <x:c r="B86" s="31"/>
      <x:c r="C86" s="31"/>
      <x:c r="D86" s="31"/>
      <x:c r="E86" s="31"/>
      <x:c r="F86" s="31"/>
      <x:c r="G86" s="39"/>
      <x:c r="H86" s="39"/>
      <x:c r="I86" s="31"/>
      <x:c r="J86" s="31"/>
      <x:c r="K86" s="31"/>
      <x:c r="L86" s="31"/>
    </x:row>
    <x:row r="87">
      <x:c r="A87" s="31"/>
      <x:c r="B87" s="31"/>
      <x:c r="C87" s="31"/>
      <x:c r="D87" s="31"/>
      <x:c r="E87" s="31"/>
      <x:c r="F87" s="31"/>
      <x:c r="G87" s="39"/>
      <x:c r="H87" s="39"/>
      <x:c r="I87" s="31"/>
      <x:c r="J87" s="31"/>
      <x:c r="K87" s="31"/>
      <x:c r="L87" s="31"/>
    </x:row>
    <x:row r="88">
      <x:c r="A88" s="31"/>
      <x:c r="B88" s="31"/>
      <x:c r="C88" s="31"/>
      <x:c r="D88" s="31"/>
      <x:c r="E88" s="31"/>
      <x:c r="F88" s="31"/>
      <x:c r="G88" s="39"/>
      <x:c r="H88" s="39"/>
      <x:c r="I88" s="31"/>
      <x:c r="J88" s="31"/>
      <x:c r="K88" s="31"/>
      <x:c r="L88" s="31"/>
    </x:row>
    <x:row r="89">
      <x:c r="A89" s="31"/>
      <x:c r="B89" s="31"/>
      <x:c r="C89" s="31"/>
      <x:c r="D89" s="31"/>
      <x:c r="E89" s="31"/>
      <x:c r="F89" s="31"/>
      <x:c r="G89" s="39"/>
      <x:c r="H89" s="39"/>
      <x:c r="I89" s="31"/>
      <x:c r="J89" s="31"/>
      <x:c r="K89" s="31"/>
      <x:c r="L89" s="31"/>
    </x:row>
    <x:row r="90">
      <x:c r="A90" s="31"/>
      <x:c r="B90" s="31"/>
      <x:c r="C90" s="31"/>
      <x:c r="D90" s="31"/>
      <x:c r="E90" s="31"/>
      <x:c r="F90" s="31"/>
      <x:c r="G90" s="39"/>
      <x:c r="H90" s="39"/>
      <x:c r="I90" s="31"/>
      <x:c r="J90" s="31"/>
      <x:c r="K90" s="31"/>
      <x:c r="L90" s="31"/>
    </x:row>
    <x:row r="91">
      <x:c r="A91" s="31"/>
      <x:c r="B91" s="31"/>
      <x:c r="C91" s="31"/>
      <x:c r="D91" s="31"/>
      <x:c r="E91" s="31"/>
      <x:c r="F91" s="31"/>
      <x:c r="G91" s="39"/>
      <x:c r="H91" s="39"/>
      <x:c r="I91" s="31"/>
      <x:c r="J91" s="31"/>
      <x:c r="K91" s="31"/>
      <x:c r="L91" s="31"/>
    </x:row>
    <x:row r="92">
      <x:c r="A92" s="31"/>
      <x:c r="B92" s="31"/>
      <x:c r="C92" s="31"/>
      <x:c r="D92" s="31"/>
      <x:c r="E92" s="31"/>
      <x:c r="F92" s="31"/>
      <x:c r="G92" s="39"/>
      <x:c r="H92" s="39"/>
      <x:c r="I92" s="31"/>
      <x:c r="J92" s="31"/>
      <x:c r="K92" s="31"/>
      <x:c r="L92" s="31"/>
    </x:row>
    <x:row r="93">
      <x:c r="A93" s="31"/>
      <x:c r="B93" s="31"/>
      <x:c r="C93" s="31"/>
      <x:c r="D93" s="31"/>
      <x:c r="E93" s="31"/>
      <x:c r="F93" s="31"/>
      <x:c r="G93" s="39"/>
      <x:c r="H93" s="39"/>
      <x:c r="I93" s="31"/>
      <x:c r="J93" s="31"/>
      <x:c r="K93" s="31"/>
      <x:c r="L93" s="31"/>
    </x:row>
    <x:row r="94">
      <x:c r="A94" s="31"/>
      <x:c r="B94" s="31"/>
      <x:c r="C94" s="31"/>
      <x:c r="D94" s="31"/>
      <x:c r="E94" s="31"/>
      <x:c r="F94" s="31"/>
      <x:c r="G94" s="39"/>
      <x:c r="H94" s="39"/>
      <x:c r="I94" s="31"/>
      <x:c r="J94" s="31"/>
      <x:c r="K94" s="31"/>
      <x:c r="L94" s="31"/>
    </x:row>
    <x:row r="95">
      <x:c r="A95" s="31"/>
      <x:c r="B95" s="31"/>
      <x:c r="C95" s="31"/>
      <x:c r="D95" s="31"/>
      <x:c r="E95" s="31"/>
      <x:c r="F95" s="31"/>
      <x:c r="G95" s="39"/>
      <x:c r="H95" s="39"/>
      <x:c r="I95" s="31"/>
      <x:c r="J95" s="31"/>
      <x:c r="K95" s="31"/>
      <x:c r="L95" s="31"/>
    </x:row>
    <x:row r="96">
      <x:c r="A96" s="31"/>
      <x:c r="B96" s="31"/>
      <x:c r="C96" s="31"/>
      <x:c r="D96" s="31"/>
      <x:c r="E96" s="31"/>
      <x:c r="F96" s="31"/>
      <x:c r="G96" s="39"/>
      <x:c r="H96" s="39"/>
      <x:c r="I96" s="31"/>
      <x:c r="J96" s="31"/>
      <x:c r="K96" s="31"/>
      <x:c r="L96" s="31"/>
    </x:row>
    <x:row r="97">
      <x:c r="A97" s="31"/>
      <x:c r="B97" s="31"/>
      <x:c r="C97" s="31"/>
      <x:c r="D97" s="31"/>
      <x:c r="E97" s="31"/>
      <x:c r="F97" s="31"/>
      <x:c r="G97" s="39"/>
      <x:c r="H97" s="39"/>
      <x:c r="I97" s="31"/>
      <x:c r="J97" s="31"/>
      <x:c r="K97" s="31"/>
      <x:c r="L97" s="31"/>
    </x:row>
    <x:row r="98">
      <x:c r="A98" s="31"/>
      <x:c r="B98" s="31"/>
      <x:c r="C98" s="31"/>
      <x:c r="D98" s="31"/>
      <x:c r="E98" s="31"/>
      <x:c r="F98" s="31"/>
      <x:c r="G98" s="39"/>
      <x:c r="H98" s="39"/>
      <x:c r="I98" s="31"/>
      <x:c r="J98" s="31"/>
      <x:c r="K98" s="31"/>
      <x:c r="L98" s="31"/>
    </x:row>
    <x:row r="99">
      <x:c r="A99" s="31"/>
      <x:c r="B99" s="31"/>
      <x:c r="C99" s="31"/>
      <x:c r="D99" s="31"/>
      <x:c r="E99" s="31"/>
      <x:c r="F99" s="31"/>
      <x:c r="G99" s="39"/>
      <x:c r="H99" s="39"/>
      <x:c r="I99" s="31"/>
      <x:c r="J99" s="31"/>
      <x:c r="K99" s="31"/>
      <x:c r="L99" s="31"/>
    </x:row>
    <x:row r="100">
      <x:c r="A100" s="31"/>
      <x:c r="B100" s="31"/>
      <x:c r="C100" s="31"/>
      <x:c r="D100" s="31"/>
      <x:c r="E100" s="31"/>
      <x:c r="F100" s="31"/>
      <x:c r="G100" s="39"/>
      <x:c r="H100" s="39"/>
      <x:c r="I100" s="31"/>
      <x:c r="J100" s="31"/>
      <x:c r="K100" s="31"/>
      <x:c r="L100" s="31"/>
    </x:row>
    <x:row r="101">
      <x:c r="A101" s="31"/>
      <x:c r="B101" s="31"/>
      <x:c r="C101" s="31"/>
      <x:c r="D101" s="31"/>
      <x:c r="E101" s="31"/>
      <x:c r="F101" s="31"/>
      <x:c r="G101" s="39"/>
      <x:c r="H101" s="39"/>
      <x:c r="I101" s="31"/>
      <x:c r="J101" s="31"/>
      <x:c r="K101" s="31"/>
      <x:c r="L101" s="31"/>
    </x:row>
    <x:row r="102">
      <x:c r="A102" s="31"/>
      <x:c r="B102" s="31"/>
      <x:c r="C102" s="31"/>
      <x:c r="D102" s="31"/>
      <x:c r="E102" s="31"/>
      <x:c r="F102" s="31"/>
      <x:c r="G102" s="39"/>
      <x:c r="H102" s="39"/>
      <x:c r="I102" s="31"/>
      <x:c r="J102" s="31"/>
      <x:c r="K102" s="31"/>
      <x:c r="L102" s="31"/>
    </x:row>
    <x:row r="103">
      <x:c r="A103" s="31"/>
      <x:c r="B103" s="31"/>
      <x:c r="C103" s="31"/>
      <x:c r="D103" s="31"/>
      <x:c r="E103" s="31"/>
      <x:c r="F103" s="31"/>
      <x:c r="G103" s="39"/>
      <x:c r="H103" s="39"/>
      <x:c r="I103" s="31"/>
      <x:c r="J103" s="31"/>
      <x:c r="K103" s="31"/>
      <x:c r="L103" s="31"/>
    </x:row>
    <x:row r="104">
      <x:c r="A104" s="31"/>
      <x:c r="B104" s="31"/>
      <x:c r="C104" s="31"/>
      <x:c r="D104" s="31"/>
      <x:c r="E104" s="31"/>
      <x:c r="F104" s="31"/>
      <x:c r="G104" s="39"/>
      <x:c r="H104" s="39"/>
      <x:c r="I104" s="31"/>
      <x:c r="J104" s="31"/>
      <x:c r="K104" s="31"/>
      <x:c r="L104" s="31"/>
    </x:row>
    <x:row r="105">
      <x:c r="A105" s="31"/>
      <x:c r="B105" s="31"/>
      <x:c r="C105" s="31"/>
      <x:c r="D105" s="31"/>
      <x:c r="E105" s="31"/>
      <x:c r="F105" s="31"/>
      <x:c r="G105" s="39"/>
      <x:c r="H105" s="39"/>
      <x:c r="I105" s="31"/>
      <x:c r="J105" s="31"/>
      <x:c r="K105" s="31"/>
      <x:c r="L105" s="31"/>
    </x:row>
    <x:row r="106">
      <x:c r="A106" s="31"/>
      <x:c r="B106" s="31"/>
      <x:c r="C106" s="31"/>
      <x:c r="D106" s="31"/>
      <x:c r="E106" s="31"/>
      <x:c r="F106" s="31"/>
      <x:c r="G106" s="39"/>
      <x:c r="H106" s="39"/>
      <x:c r="I106" s="31"/>
      <x:c r="J106" s="31"/>
      <x:c r="K106" s="31"/>
      <x:c r="L106" s="31"/>
    </x:row>
    <x:row r="107">
      <x:c r="A107" s="31"/>
      <x:c r="B107" s="31"/>
      <x:c r="C107" s="31"/>
      <x:c r="D107" s="31"/>
      <x:c r="E107" s="31"/>
      <x:c r="F107" s="31"/>
      <x:c r="G107" s="39"/>
      <x:c r="H107" s="39"/>
      <x:c r="I107" s="31"/>
      <x:c r="J107" s="31"/>
      <x:c r="K107" s="31"/>
      <x:c r="L107" s="31"/>
    </x:row>
    <x:row r="108">
      <x:c r="A108" s="31"/>
      <x:c r="B108" s="31"/>
      <x:c r="C108" s="31"/>
      <x:c r="D108" s="31"/>
      <x:c r="E108" s="31"/>
      <x:c r="F108" s="31"/>
      <x:c r="G108" s="39"/>
      <x:c r="H108" s="39"/>
      <x:c r="I108" s="31"/>
      <x:c r="J108" s="31"/>
      <x:c r="K108" s="31"/>
      <x:c r="L108" s="31"/>
    </x:row>
    <x:row r="109">
      <x:c r="A109" s="31"/>
      <x:c r="B109" s="31"/>
      <x:c r="C109" s="31"/>
      <x:c r="D109" s="31"/>
      <x:c r="E109" s="31"/>
      <x:c r="F109" s="31"/>
      <x:c r="G109" s="39"/>
      <x:c r="H109" s="39"/>
      <x:c r="I109" s="31"/>
      <x:c r="J109" s="31"/>
      <x:c r="K109" s="31"/>
      <x:c r="L109" s="31"/>
    </x:row>
    <x:row r="110">
      <x:c r="A110" s="31"/>
      <x:c r="B110" s="31"/>
      <x:c r="C110" s="31"/>
      <x:c r="D110" s="31"/>
      <x:c r="E110" s="31"/>
      <x:c r="F110" s="31"/>
      <x:c r="G110" s="39"/>
      <x:c r="H110" s="39"/>
      <x:c r="I110" s="31"/>
      <x:c r="J110" s="31"/>
      <x:c r="K110" s="31"/>
      <x:c r="L110" s="31"/>
    </x:row>
    <x:row r="111">
      <x:c r="A111" s="31"/>
      <x:c r="B111" s="31"/>
      <x:c r="C111" s="31"/>
      <x:c r="D111" s="31"/>
      <x:c r="E111" s="31"/>
      <x:c r="F111" s="31"/>
      <x:c r="G111" s="39"/>
      <x:c r="H111" s="39"/>
      <x:c r="I111" s="31"/>
      <x:c r="J111" s="31"/>
      <x:c r="K111" s="31"/>
      <x:c r="L111" s="31"/>
    </x:row>
    <x:row r="112">
      <x:c r="A112" s="31"/>
      <x:c r="B112" s="31"/>
      <x:c r="C112" s="31"/>
      <x:c r="D112" s="31"/>
      <x:c r="E112" s="31"/>
      <x:c r="F112" s="31"/>
      <x:c r="G112" s="39"/>
      <x:c r="H112" s="39"/>
      <x:c r="I112" s="31"/>
      <x:c r="J112" s="31"/>
      <x:c r="K112" s="31"/>
      <x:c r="L112" s="31"/>
    </x:row>
    <x:row r="113">
      <x:c r="A113" s="31"/>
      <x:c r="B113" s="31"/>
      <x:c r="C113" s="31"/>
      <x:c r="D113" s="31"/>
      <x:c r="E113" s="31"/>
      <x:c r="F113" s="31"/>
      <x:c r="G113" s="39"/>
      <x:c r="H113" s="39"/>
      <x:c r="I113" s="31"/>
      <x:c r="J113" s="31"/>
      <x:c r="K113" s="31"/>
      <x:c r="L113" s="31"/>
    </x:row>
    <x:row r="114">
      <x:c r="A114" s="31"/>
      <x:c r="B114" s="31"/>
      <x:c r="C114" s="31"/>
      <x:c r="D114" s="31"/>
      <x:c r="E114" s="31"/>
      <x:c r="F114" s="31"/>
      <x:c r="G114" s="39"/>
      <x:c r="H114" s="39"/>
      <x:c r="I114" s="31"/>
      <x:c r="J114" s="31"/>
      <x:c r="K114" s="31"/>
      <x:c r="L114" s="31"/>
    </x:row>
    <x:row r="115">
      <x:c r="A115" s="31"/>
      <x:c r="B115" s="31"/>
      <x:c r="C115" s="31"/>
      <x:c r="D115" s="31"/>
      <x:c r="E115" s="31"/>
      <x:c r="F115" s="31"/>
      <x:c r="G115" s="39"/>
      <x:c r="H115" s="39"/>
      <x:c r="I115" s="31"/>
      <x:c r="J115" s="31"/>
      <x:c r="K115" s="31"/>
      <x:c r="L115" s="31"/>
    </x:row>
    <x:row r="116">
      <x:c r="A116" s="31"/>
      <x:c r="B116" s="31"/>
      <x:c r="C116" s="31"/>
      <x:c r="D116" s="31"/>
      <x:c r="E116" s="31"/>
      <x:c r="F116" s="31"/>
      <x:c r="G116" s="39"/>
      <x:c r="H116" s="39"/>
      <x:c r="I116" s="31"/>
      <x:c r="J116" s="31"/>
      <x:c r="K116" s="31"/>
      <x:c r="L116" s="31"/>
    </x:row>
    <x:row r="117">
      <x:c r="A117" s="31"/>
      <x:c r="B117" s="31"/>
      <x:c r="C117" s="31"/>
      <x:c r="D117" s="31"/>
      <x:c r="E117" s="31"/>
      <x:c r="F117" s="31"/>
      <x:c r="G117" s="39"/>
      <x:c r="H117" s="39"/>
      <x:c r="I117" s="31"/>
      <x:c r="J117" s="31"/>
      <x:c r="K117" s="31"/>
      <x:c r="L117" s="31"/>
    </x:row>
    <x:row r="118">
      <x:c r="A118" s="31"/>
      <x:c r="B118" s="31"/>
      <x:c r="C118" s="31"/>
      <x:c r="D118" s="31"/>
      <x:c r="E118" s="31"/>
      <x:c r="F118" s="31"/>
      <x:c r="G118" s="39"/>
      <x:c r="H118" s="39"/>
      <x:c r="I118" s="31"/>
      <x:c r="J118" s="31"/>
      <x:c r="K118" s="31"/>
      <x:c r="L118" s="31"/>
    </x:row>
    <x:row r="119">
      <x:c r="A119" s="31"/>
      <x:c r="B119" s="31"/>
      <x:c r="C119" s="31"/>
      <x:c r="D119" s="31"/>
      <x:c r="E119" s="31"/>
      <x:c r="F119" s="31"/>
      <x:c r="G119" s="39"/>
      <x:c r="H119" s="39"/>
      <x:c r="I119" s="31"/>
      <x:c r="J119" s="31"/>
      <x:c r="K119" s="31"/>
      <x:c r="L119" s="31"/>
    </x:row>
    <x:row r="120">
      <x:c r="A120" s="31"/>
      <x:c r="B120" s="31"/>
      <x:c r="C120" s="31"/>
      <x:c r="D120" s="31"/>
      <x:c r="E120" s="31"/>
      <x:c r="F120" s="31"/>
      <x:c r="G120" s="39"/>
      <x:c r="H120" s="39"/>
      <x:c r="I120" s="31"/>
      <x:c r="J120" s="31"/>
      <x:c r="K120" s="31"/>
      <x:c r="L120" s="31"/>
    </x:row>
    <x:row r="121">
      <x:c r="A121" s="31"/>
      <x:c r="B121" s="31"/>
      <x:c r="C121" s="31"/>
      <x:c r="D121" s="31"/>
      <x:c r="E121" s="31"/>
      <x:c r="F121" s="31"/>
      <x:c r="G121" s="39"/>
      <x:c r="H121" s="39"/>
      <x:c r="I121" s="31"/>
      <x:c r="J121" s="31"/>
      <x:c r="K121" s="31"/>
      <x:c r="L121" s="31"/>
    </x:row>
    <x:row r="122">
      <x:c r="A122" s="31"/>
      <x:c r="B122" s="31"/>
      <x:c r="C122" s="31"/>
      <x:c r="D122" s="31"/>
      <x:c r="E122" s="31"/>
      <x:c r="F122" s="31"/>
      <x:c r="G122" s="39"/>
      <x:c r="H122" s="39"/>
      <x:c r="I122" s="31"/>
      <x:c r="J122" s="31"/>
      <x:c r="K122" s="31"/>
      <x:c r="L122" s="31"/>
    </x:row>
    <x:row r="123">
      <x:c r="A123" s="31"/>
      <x:c r="B123" s="31"/>
      <x:c r="C123" s="31"/>
      <x:c r="D123" s="31"/>
      <x:c r="E123" s="31"/>
      <x:c r="F123" s="31"/>
      <x:c r="G123" s="39"/>
      <x:c r="H123" s="39"/>
      <x:c r="I123" s="31"/>
      <x:c r="J123" s="31"/>
      <x:c r="K123" s="31"/>
      <x:c r="L123" s="31"/>
    </x:row>
    <x:row r="124">
      <x:c r="A124" s="31"/>
      <x:c r="B124" s="31"/>
      <x:c r="C124" s="31"/>
      <x:c r="D124" s="31"/>
      <x:c r="E124" s="31"/>
      <x:c r="F124" s="31"/>
      <x:c r="G124" s="39"/>
      <x:c r="H124" s="39"/>
      <x:c r="I124" s="31"/>
      <x:c r="J124" s="31"/>
      <x:c r="K124" s="31"/>
      <x:c r="L124" s="31"/>
    </x:row>
    <x:row r="125">
      <x:c r="A125" s="31"/>
      <x:c r="B125" s="31"/>
      <x:c r="C125" s="31"/>
      <x:c r="D125" s="31"/>
      <x:c r="E125" s="31"/>
      <x:c r="F125" s="31"/>
      <x:c r="G125" s="39"/>
      <x:c r="H125" s="39"/>
      <x:c r="I125" s="31"/>
      <x:c r="J125" s="31"/>
      <x:c r="K125" s="31"/>
      <x:c r="L125" s="31"/>
    </x:row>
    <x:row r="126">
      <x:c r="A126" s="31"/>
      <x:c r="B126" s="31"/>
      <x:c r="C126" s="31"/>
      <x:c r="D126" s="31"/>
      <x:c r="E126" s="31"/>
      <x:c r="F126" s="31"/>
      <x:c r="G126" s="39"/>
      <x:c r="H126" s="39"/>
      <x:c r="I126" s="31"/>
      <x:c r="J126" s="31"/>
      <x:c r="K126" s="31"/>
      <x:c r="L126" s="31"/>
    </x:row>
    <x:row r="127">
      <x:c r="A127" s="31"/>
      <x:c r="B127" s="31"/>
      <x:c r="C127" s="31"/>
      <x:c r="D127" s="31"/>
      <x:c r="E127" s="31"/>
      <x:c r="F127" s="31"/>
      <x:c r="G127" s="39"/>
      <x:c r="H127" s="39"/>
      <x:c r="I127" s="31"/>
      <x:c r="J127" s="31"/>
      <x:c r="K127" s="31"/>
      <x:c r="L127" s="31"/>
    </x:row>
    <x:row r="128">
      <x:c r="A128" s="31"/>
      <x:c r="B128" s="31"/>
      <x:c r="C128" s="31"/>
      <x:c r="D128" s="31"/>
      <x:c r="E128" s="31"/>
      <x:c r="F128" s="31"/>
      <x:c r="G128" s="39"/>
      <x:c r="H128" s="39"/>
      <x:c r="I128" s="31"/>
      <x:c r="J128" s="31"/>
      <x:c r="K128" s="31"/>
      <x:c r="L128" s="31"/>
    </x:row>
    <x:row r="129">
      <x:c r="A129" s="31"/>
      <x:c r="B129" s="31"/>
      <x:c r="C129" s="31"/>
      <x:c r="D129" s="31"/>
      <x:c r="E129" s="31"/>
      <x:c r="F129" s="31"/>
      <x:c r="G129" s="39"/>
      <x:c r="H129" s="39"/>
      <x:c r="I129" s="31"/>
      <x:c r="J129" s="31"/>
      <x:c r="K129" s="31"/>
      <x:c r="L129" s="31"/>
    </x:row>
    <x:row r="130">
      <x:c r="A130" s="31"/>
      <x:c r="B130" s="31"/>
      <x:c r="C130" s="31"/>
      <x:c r="D130" s="31"/>
      <x:c r="E130" s="31"/>
      <x:c r="F130" s="31"/>
      <x:c r="G130" s="39"/>
      <x:c r="H130" s="39"/>
      <x:c r="I130" s="31"/>
      <x:c r="J130" s="31"/>
      <x:c r="K130" s="31"/>
      <x:c r="L130" s="31"/>
    </x:row>
    <x:row r="131">
      <x:c r="A131" s="31"/>
      <x:c r="B131" s="31"/>
      <x:c r="C131" s="31"/>
      <x:c r="D131" s="31"/>
      <x:c r="E131" s="31"/>
      <x:c r="F131" s="31"/>
      <x:c r="G131" s="39"/>
      <x:c r="H131" s="39"/>
      <x:c r="I131" s="31"/>
      <x:c r="J131" s="31"/>
      <x:c r="K131" s="31"/>
      <x:c r="L131" s="31"/>
    </x:row>
    <x:row r="132">
      <x:c r="A132" s="31"/>
      <x:c r="B132" s="31"/>
      <x:c r="C132" s="31"/>
      <x:c r="D132" s="31"/>
      <x:c r="E132" s="31"/>
      <x:c r="F132" s="31"/>
      <x:c r="G132" s="39"/>
      <x:c r="H132" s="39"/>
      <x:c r="I132" s="31"/>
      <x:c r="J132" s="31"/>
      <x:c r="K132" s="31"/>
      <x:c r="L132" s="31"/>
    </x:row>
    <x:row r="133">
      <x:c r="A133" s="31"/>
      <x:c r="B133" s="31"/>
      <x:c r="C133" s="31"/>
      <x:c r="D133" s="31"/>
      <x:c r="E133" s="31"/>
      <x:c r="F133" s="31"/>
      <x:c r="G133" s="39"/>
      <x:c r="H133" s="39"/>
      <x:c r="I133" s="31"/>
      <x:c r="J133" s="31"/>
      <x:c r="K133" s="31"/>
      <x:c r="L133" s="31"/>
    </x:row>
    <x:row r="134">
      <x:c r="A134" s="31"/>
      <x:c r="B134" s="31"/>
      <x:c r="C134" s="31"/>
      <x:c r="D134" s="31"/>
      <x:c r="E134" s="31"/>
      <x:c r="F134" s="31"/>
      <x:c r="G134" s="39"/>
      <x:c r="H134" s="39"/>
      <x:c r="I134" s="31"/>
      <x:c r="J134" s="31"/>
      <x:c r="K134" s="31"/>
      <x:c r="L134" s="31"/>
    </x:row>
    <x:row r="135">
      <x:c r="A135" s="31"/>
      <x:c r="B135" s="31"/>
      <x:c r="C135" s="31"/>
      <x:c r="D135" s="31"/>
      <x:c r="E135" s="31"/>
      <x:c r="F135" s="31"/>
      <x:c r="G135" s="39"/>
      <x:c r="H135" s="39"/>
      <x:c r="I135" s="31"/>
      <x:c r="J135" s="31"/>
      <x:c r="K135" s="31"/>
      <x:c r="L135" s="31"/>
    </x:row>
    <x:row r="136">
      <x:c r="A136" s="31"/>
      <x:c r="B136" s="31"/>
      <x:c r="C136" s="31"/>
      <x:c r="D136" s="31"/>
      <x:c r="E136" s="31"/>
      <x:c r="F136" s="31"/>
      <x:c r="G136" s="39"/>
      <x:c r="H136" s="39"/>
      <x:c r="I136" s="31"/>
      <x:c r="J136" s="31"/>
      <x:c r="K136" s="31"/>
      <x:c r="L136" s="31"/>
    </x:row>
    <x:row r="137">
      <x:c r="A137" s="31"/>
      <x:c r="B137" s="31"/>
      <x:c r="C137" s="31"/>
      <x:c r="D137" s="31"/>
      <x:c r="E137" s="31"/>
      <x:c r="F137" s="31"/>
      <x:c r="G137" s="39"/>
      <x:c r="H137" s="39"/>
      <x:c r="I137" s="31"/>
      <x:c r="J137" s="31"/>
      <x:c r="K137" s="31"/>
      <x:c r="L137" s="31"/>
    </x:row>
    <x:row r="138">
      <x:c r="A138" s="31"/>
      <x:c r="B138" s="31"/>
      <x:c r="C138" s="31"/>
      <x:c r="D138" s="31"/>
      <x:c r="E138" s="31"/>
      <x:c r="F138" s="31"/>
      <x:c r="G138" s="39"/>
      <x:c r="H138" s="39"/>
      <x:c r="I138" s="31"/>
      <x:c r="J138" s="31"/>
      <x:c r="K138" s="31"/>
      <x:c r="L138" s="31"/>
    </x:row>
    <x:row r="139">
      <x:c r="A139" s="31"/>
      <x:c r="B139" s="31"/>
      <x:c r="C139" s="31"/>
      <x:c r="D139" s="31"/>
      <x:c r="E139" s="31"/>
      <x:c r="F139" s="31"/>
      <x:c r="G139" s="39"/>
      <x:c r="H139" s="39"/>
      <x:c r="I139" s="31"/>
      <x:c r="J139" s="31"/>
      <x:c r="K139" s="31"/>
      <x:c r="L139" s="31"/>
    </x:row>
    <x:row r="140">
      <x:c r="A140" s="31"/>
      <x:c r="B140" s="31"/>
      <x:c r="C140" s="31"/>
      <x:c r="D140" s="31"/>
      <x:c r="E140" s="31"/>
      <x:c r="F140" s="31"/>
      <x:c r="G140" s="39"/>
      <x:c r="H140" s="39"/>
      <x:c r="I140" s="31"/>
      <x:c r="J140" s="31"/>
      <x:c r="K140" s="31"/>
      <x:c r="L140" s="31"/>
    </x:row>
    <x:row r="141">
      <x:c r="A141" s="31"/>
      <x:c r="B141" s="31"/>
      <x:c r="C141" s="31"/>
      <x:c r="D141" s="31"/>
      <x:c r="E141" s="31"/>
      <x:c r="F141" s="31"/>
      <x:c r="G141" s="39"/>
      <x:c r="H141" s="39"/>
      <x:c r="I141" s="31"/>
      <x:c r="J141" s="31"/>
      <x:c r="K141" s="31"/>
      <x:c r="L141" s="31"/>
    </x:row>
    <x:row r="142">
      <x:c r="A142" s="31"/>
      <x:c r="B142" s="31"/>
      <x:c r="C142" s="31"/>
      <x:c r="D142" s="31"/>
      <x:c r="E142" s="31"/>
      <x:c r="F142" s="31"/>
      <x:c r="G142" s="39"/>
      <x:c r="H142" s="39"/>
      <x:c r="I142" s="31"/>
      <x:c r="J142" s="31"/>
      <x:c r="K142" s="31"/>
      <x:c r="L142" s="31"/>
    </x:row>
    <x:row r="143">
      <x:c r="A143" s="31"/>
      <x:c r="B143" s="31"/>
      <x:c r="C143" s="31"/>
      <x:c r="D143" s="31"/>
      <x:c r="E143" s="31"/>
      <x:c r="F143" s="31"/>
      <x:c r="G143" s="39"/>
      <x:c r="H143" s="39"/>
      <x:c r="I143" s="31"/>
      <x:c r="J143" s="31"/>
      <x:c r="K143" s="31"/>
      <x:c r="L143" s="31"/>
    </x:row>
    <x:row r="144">
      <x:c r="A144" s="31"/>
      <x:c r="B144" s="31"/>
      <x:c r="C144" s="31"/>
      <x:c r="D144" s="31"/>
      <x:c r="E144" s="31"/>
      <x:c r="F144" s="31"/>
      <x:c r="G144" s="39"/>
      <x:c r="H144" s="39"/>
      <x:c r="I144" s="31"/>
      <x:c r="J144" s="31"/>
      <x:c r="K144" s="31"/>
      <x:c r="L144" s="31"/>
    </x:row>
    <x:row r="145">
      <x:c r="A145" s="31"/>
      <x:c r="B145" s="31"/>
      <x:c r="C145" s="31"/>
      <x:c r="D145" s="31"/>
      <x:c r="E145" s="31"/>
      <x:c r="F145" s="31"/>
      <x:c r="G145" s="39"/>
      <x:c r="H145" s="39"/>
      <x:c r="I145" s="31"/>
      <x:c r="J145" s="31"/>
      <x:c r="K145" s="31"/>
      <x:c r="L145" s="31"/>
    </x:row>
    <x:row r="146">
      <x:c r="A146" s="31"/>
      <x:c r="B146" s="31"/>
      <x:c r="C146" s="31"/>
      <x:c r="D146" s="31"/>
      <x:c r="E146" s="31"/>
      <x:c r="F146" s="31"/>
      <x:c r="G146" s="39"/>
      <x:c r="H146" s="39"/>
      <x:c r="I146" s="31"/>
      <x:c r="J146" s="31"/>
      <x:c r="K146" s="31"/>
      <x:c r="L146" s="31"/>
    </x:row>
    <x:row r="147">
      <x:c r="A147" s="31"/>
      <x:c r="B147" s="31"/>
      <x:c r="C147" s="31"/>
      <x:c r="D147" s="31"/>
      <x:c r="E147" s="31"/>
      <x:c r="F147" s="31"/>
      <x:c r="G147" s="39"/>
      <x:c r="H147" s="39"/>
      <x:c r="I147" s="31"/>
      <x:c r="J147" s="31"/>
      <x:c r="K147" s="31"/>
      <x:c r="L147" s="31"/>
    </x:row>
    <x:row r="148">
      <x:c r="A148" s="31"/>
      <x:c r="B148" s="31"/>
      <x:c r="C148" s="31"/>
      <x:c r="D148" s="31"/>
      <x:c r="E148" s="31"/>
      <x:c r="F148" s="31"/>
      <x:c r="G148" s="39"/>
      <x:c r="H148" s="39"/>
      <x:c r="I148" s="31"/>
      <x:c r="J148" s="31"/>
      <x:c r="K148" s="31"/>
      <x:c r="L148" s="31"/>
    </x:row>
    <x:row r="149">
      <x:c r="A149" s="31"/>
      <x:c r="B149" s="31"/>
      <x:c r="C149" s="31"/>
      <x:c r="D149" s="31"/>
      <x:c r="E149" s="31"/>
      <x:c r="F149" s="31"/>
      <x:c r="G149" s="39"/>
      <x:c r="H149" s="39"/>
      <x:c r="I149" s="31"/>
      <x:c r="J149" s="31"/>
      <x:c r="K149" s="31"/>
      <x:c r="L149" s="31"/>
    </x:row>
    <x:row r="150">
      <x:c r="A150" s="31"/>
      <x:c r="B150" s="31"/>
      <x:c r="C150" s="31"/>
      <x:c r="D150" s="31"/>
      <x:c r="E150" s="31"/>
      <x:c r="F150" s="31"/>
      <x:c r="G150" s="39"/>
      <x:c r="H150" s="39"/>
      <x:c r="I150" s="31"/>
      <x:c r="J150" s="31"/>
      <x:c r="K150" s="31"/>
      <x:c r="L150" s="31"/>
    </x:row>
    <x:row r="151">
      <x:c r="A151" s="31"/>
      <x:c r="B151" s="31"/>
      <x:c r="C151" s="31"/>
      <x:c r="D151" s="31"/>
      <x:c r="E151" s="31"/>
      <x:c r="F151" s="31"/>
      <x:c r="G151" s="39"/>
      <x:c r="H151" s="39"/>
      <x:c r="I151" s="31"/>
      <x:c r="J151" s="31"/>
      <x:c r="K151" s="31"/>
      <x:c r="L151" s="31"/>
    </x:row>
    <x:row r="152">
      <x:c r="A152" s="31"/>
      <x:c r="B152" s="31"/>
      <x:c r="C152" s="31"/>
      <x:c r="D152" s="31"/>
      <x:c r="E152" s="31"/>
      <x:c r="F152" s="31"/>
      <x:c r="G152" s="39"/>
      <x:c r="H152" s="39"/>
      <x:c r="I152" s="31"/>
      <x:c r="J152" s="31"/>
      <x:c r="K152" s="31"/>
      <x:c r="L152" s="31"/>
    </x:row>
    <x:row r="153">
      <x:c r="A153" s="31"/>
      <x:c r="B153" s="31"/>
      <x:c r="C153" s="31"/>
      <x:c r="D153" s="31"/>
      <x:c r="E153" s="31"/>
      <x:c r="F153" s="31"/>
      <x:c r="G153" s="39"/>
      <x:c r="H153" s="39"/>
      <x:c r="I153" s="31"/>
      <x:c r="J153" s="31"/>
      <x:c r="K153" s="31"/>
      <x:c r="L153" s="31"/>
    </x:row>
    <x:row r="154">
      <x:c r="A154" s="31"/>
      <x:c r="B154" s="31"/>
      <x:c r="C154" s="31"/>
      <x:c r="D154" s="31"/>
      <x:c r="E154" s="31"/>
      <x:c r="F154" s="31"/>
      <x:c r="G154" s="39"/>
      <x:c r="H154" s="39"/>
      <x:c r="I154" s="31"/>
      <x:c r="J154" s="31"/>
      <x:c r="K154" s="31"/>
      <x:c r="L154" s="31"/>
    </x:row>
    <x:row r="155">
      <x:c r="A155" s="31"/>
      <x:c r="B155" s="31"/>
      <x:c r="C155" s="31"/>
      <x:c r="D155" s="31"/>
      <x:c r="E155" s="31"/>
      <x:c r="F155" s="31"/>
      <x:c r="G155" s="39"/>
      <x:c r="H155" s="39"/>
      <x:c r="I155" s="31"/>
      <x:c r="J155" s="31"/>
      <x:c r="K155" s="31"/>
      <x:c r="L155" s="31"/>
    </x:row>
    <x:row r="156">
      <x:c r="A156" s="31"/>
      <x:c r="B156" s="31"/>
      <x:c r="C156" s="31"/>
      <x:c r="D156" s="31"/>
      <x:c r="E156" s="31"/>
      <x:c r="F156" s="31"/>
      <x:c r="G156" s="39"/>
      <x:c r="H156" s="39"/>
      <x:c r="I156" s="31"/>
      <x:c r="J156" s="31"/>
      <x:c r="K156" s="31"/>
      <x:c r="L156" s="31"/>
    </x:row>
    <x:row r="157">
      <x:c r="A157" s="31"/>
      <x:c r="B157" s="31"/>
      <x:c r="C157" s="31"/>
      <x:c r="D157" s="31"/>
      <x:c r="E157" s="31"/>
      <x:c r="F157" s="31"/>
      <x:c r="G157" s="39"/>
      <x:c r="H157" s="39"/>
      <x:c r="I157" s="31"/>
      <x:c r="J157" s="31"/>
      <x:c r="K157" s="31"/>
      <x:c r="L157" s="31"/>
    </x:row>
    <x:row r="158">
      <x:c r="A158" s="31"/>
      <x:c r="B158" s="31"/>
      <x:c r="C158" s="31"/>
      <x:c r="D158" s="31"/>
      <x:c r="E158" s="31"/>
      <x:c r="F158" s="31"/>
      <x:c r="G158" s="39"/>
      <x:c r="H158" s="39"/>
      <x:c r="I158" s="31"/>
      <x:c r="J158" s="31"/>
      <x:c r="K158" s="31"/>
      <x:c r="L158" s="31"/>
    </x:row>
    <x:row r="159">
      <x:c r="A159" s="31"/>
      <x:c r="B159" s="31"/>
      <x:c r="C159" s="31"/>
      <x:c r="D159" s="31"/>
      <x:c r="E159" s="31"/>
      <x:c r="F159" s="31"/>
      <x:c r="G159" s="39"/>
      <x:c r="H159" s="39"/>
      <x:c r="I159" s="31"/>
      <x:c r="J159" s="31"/>
      <x:c r="K159" s="31"/>
      <x:c r="L159" s="31"/>
    </x:row>
    <x:row r="160">
      <x:c r="A160" s="31"/>
      <x:c r="B160" s="31"/>
      <x:c r="C160" s="31"/>
      <x:c r="D160" s="31"/>
      <x:c r="E160" s="31"/>
      <x:c r="F160" s="31"/>
      <x:c r="G160" s="39"/>
      <x:c r="H160" s="39"/>
      <x:c r="I160" s="31"/>
      <x:c r="J160" s="31"/>
      <x:c r="K160" s="31"/>
      <x:c r="L160" s="31"/>
    </x:row>
    <x:row r="161">
      <x:c r="A161" s="31"/>
      <x:c r="B161" s="31"/>
      <x:c r="C161" s="31"/>
      <x:c r="D161" s="31"/>
      <x:c r="E161" s="31"/>
      <x:c r="F161" s="31"/>
      <x:c r="G161" s="39"/>
      <x:c r="H161" s="39"/>
      <x:c r="I161" s="31"/>
      <x:c r="J161" s="31"/>
      <x:c r="K161" s="31"/>
      <x:c r="L161" s="31"/>
    </x:row>
    <x:row r="162">
      <x:c r="A162" s="31"/>
      <x:c r="B162" s="31"/>
      <x:c r="C162" s="31"/>
      <x:c r="D162" s="31"/>
      <x:c r="E162" s="31"/>
      <x:c r="F162" s="31"/>
      <x:c r="G162" s="39"/>
      <x:c r="H162" s="39"/>
      <x:c r="I162" s="31"/>
      <x:c r="J162" s="31"/>
      <x:c r="K162" s="31"/>
      <x:c r="L162" s="31"/>
    </x:row>
    <x:row r="163">
      <x:c r="A163" s="31"/>
      <x:c r="B163" s="31"/>
      <x:c r="C163" s="31"/>
      <x:c r="D163" s="31"/>
      <x:c r="E163" s="31"/>
      <x:c r="F163" s="31"/>
      <x:c r="G163" s="39"/>
      <x:c r="H163" s="39"/>
      <x:c r="I163" s="31"/>
      <x:c r="J163" s="31"/>
      <x:c r="K163" s="31"/>
      <x:c r="L163" s="31"/>
    </x:row>
    <x:row r="164">
      <x:c r="A164" s="31"/>
      <x:c r="B164" s="31"/>
      <x:c r="C164" s="31"/>
      <x:c r="D164" s="31"/>
      <x:c r="E164" s="31"/>
      <x:c r="F164" s="31"/>
      <x:c r="G164" s="39"/>
      <x:c r="H164" s="39"/>
      <x:c r="I164" s="31"/>
      <x:c r="J164" s="31"/>
      <x:c r="K164" s="31"/>
      <x:c r="L164" s="31"/>
    </x:row>
    <x:row r="165">
      <x:c r="A165" s="31"/>
      <x:c r="B165" s="31"/>
      <x:c r="C165" s="31"/>
      <x:c r="D165" s="31"/>
      <x:c r="E165" s="31"/>
      <x:c r="F165" s="31"/>
      <x:c r="G165" s="39"/>
      <x:c r="H165" s="39"/>
      <x:c r="I165" s="31"/>
      <x:c r="J165" s="31"/>
      <x:c r="K165" s="31"/>
      <x:c r="L165" s="31"/>
    </x:row>
    <x:row r="166">
      <x:c r="A166" s="31"/>
      <x:c r="B166" s="31"/>
      <x:c r="C166" s="31"/>
      <x:c r="D166" s="31"/>
      <x:c r="E166" s="31"/>
      <x:c r="F166" s="31"/>
      <x:c r="G166" s="39"/>
      <x:c r="H166" s="39"/>
      <x:c r="I166" s="31"/>
      <x:c r="J166" s="31"/>
      <x:c r="K166" s="31"/>
      <x:c r="L166" s="31"/>
    </x:row>
    <x:row r="167">
      <x:c r="A167" s="31"/>
      <x:c r="B167" s="31"/>
      <x:c r="C167" s="31"/>
      <x:c r="D167" s="31"/>
      <x:c r="E167" s="31"/>
      <x:c r="F167" s="31"/>
      <x:c r="G167" s="39"/>
      <x:c r="H167" s="39"/>
      <x:c r="I167" s="31"/>
      <x:c r="J167" s="31"/>
      <x:c r="K167" s="31"/>
      <x:c r="L167" s="31"/>
    </x:row>
    <x:row r="168">
      <x:c r="A168" s="31"/>
      <x:c r="B168" s="31"/>
      <x:c r="C168" s="31"/>
      <x:c r="D168" s="31"/>
      <x:c r="E168" s="31"/>
      <x:c r="F168" s="31"/>
      <x:c r="G168" s="39"/>
      <x:c r="H168" s="39"/>
      <x:c r="I168" s="31"/>
      <x:c r="J168" s="31"/>
      <x:c r="K168" s="31"/>
      <x:c r="L168" s="31"/>
    </x:row>
    <x:row r="169">
      <x:c r="A169" s="31"/>
      <x:c r="B169" s="31"/>
      <x:c r="C169" s="31"/>
      <x:c r="D169" s="31"/>
      <x:c r="E169" s="31"/>
      <x:c r="F169" s="31"/>
      <x:c r="G169" s="39"/>
      <x:c r="H169" s="39"/>
      <x:c r="I169" s="31"/>
      <x:c r="J169" s="31"/>
      <x:c r="K169" s="31"/>
      <x:c r="L169" s="31"/>
    </x:row>
    <x:row r="170">
      <x:c r="A170" s="31"/>
      <x:c r="B170" s="31"/>
      <x:c r="C170" s="31"/>
      <x:c r="D170" s="31"/>
      <x:c r="E170" s="31"/>
      <x:c r="F170" s="31"/>
      <x:c r="G170" s="39"/>
      <x:c r="H170" s="39"/>
      <x:c r="I170" s="31"/>
      <x:c r="J170" s="31"/>
      <x:c r="K170" s="31"/>
      <x:c r="L170" s="31"/>
    </x:row>
    <x:row r="171">
      <x:c r="A171" s="31"/>
      <x:c r="B171" s="31"/>
      <x:c r="C171" s="31"/>
      <x:c r="D171" s="31"/>
      <x:c r="E171" s="31"/>
      <x:c r="F171" s="31"/>
      <x:c r="G171" s="39"/>
      <x:c r="H171" s="39"/>
      <x:c r="I171" s="31"/>
      <x:c r="J171" s="31"/>
      <x:c r="K171" s="31"/>
      <x:c r="L171" s="31"/>
    </x:row>
    <x:row r="172">
      <x:c r="A172" s="31"/>
      <x:c r="B172" s="31"/>
      <x:c r="C172" s="31"/>
      <x:c r="D172" s="31"/>
      <x:c r="E172" s="31"/>
      <x:c r="F172" s="31"/>
      <x:c r="G172" s="39"/>
      <x:c r="H172" s="39"/>
      <x:c r="I172" s="31"/>
      <x:c r="J172" s="31"/>
      <x:c r="K172" s="31"/>
      <x:c r="L172" s="31"/>
    </x:row>
    <x:row r="173">
      <x:c r="A173" s="31"/>
      <x:c r="B173" s="31"/>
      <x:c r="C173" s="31"/>
      <x:c r="D173" s="31"/>
      <x:c r="E173" s="31"/>
      <x:c r="F173" s="31"/>
      <x:c r="G173" s="39"/>
      <x:c r="H173" s="39"/>
      <x:c r="I173" s="31"/>
      <x:c r="J173" s="31"/>
      <x:c r="K173" s="31"/>
      <x:c r="L173" s="31"/>
    </x:row>
    <x:row r="174">
      <x:c r="A174" s="31"/>
      <x:c r="B174" s="31"/>
      <x:c r="C174" s="31"/>
      <x:c r="D174" s="31"/>
      <x:c r="E174" s="31"/>
      <x:c r="F174" s="31"/>
      <x:c r="G174" s="39"/>
      <x:c r="H174" s="39"/>
      <x:c r="I174" s="31"/>
      <x:c r="J174" s="31"/>
      <x:c r="K174" s="31"/>
      <x:c r="L174" s="31"/>
    </x:row>
    <x:row r="175">
      <x:c r="A175" s="31"/>
      <x:c r="B175" s="31"/>
      <x:c r="C175" s="31"/>
      <x:c r="D175" s="31"/>
      <x:c r="E175" s="31"/>
      <x:c r="F175" s="31"/>
      <x:c r="G175" s="39"/>
      <x:c r="H175" s="39"/>
      <x:c r="I175" s="31"/>
      <x:c r="J175" s="31"/>
      <x:c r="K175" s="31"/>
      <x:c r="L175" s="31"/>
    </x:row>
    <x:row r="176">
      <x:c r="A176" s="31"/>
      <x:c r="B176" s="31"/>
      <x:c r="C176" s="31"/>
      <x:c r="D176" s="31"/>
      <x:c r="E176" s="31"/>
      <x:c r="F176" s="31"/>
      <x:c r="G176" s="39"/>
      <x:c r="H176" s="39"/>
      <x:c r="I176" s="31"/>
      <x:c r="J176" s="31"/>
      <x:c r="K176" s="31"/>
      <x:c r="L176" s="31"/>
    </x:row>
    <x:row r="177">
      <x:c r="A177" s="31"/>
      <x:c r="B177" s="31"/>
      <x:c r="C177" s="31"/>
      <x:c r="D177" s="31"/>
      <x:c r="E177" s="31"/>
      <x:c r="F177" s="31"/>
      <x:c r="G177" s="39"/>
      <x:c r="H177" s="39"/>
      <x:c r="I177" s="31"/>
      <x:c r="J177" s="31"/>
      <x:c r="K177" s="31"/>
      <x:c r="L177" s="31"/>
    </x:row>
    <x:row r="178">
      <x:c r="A178" s="31"/>
      <x:c r="B178" s="31"/>
      <x:c r="C178" s="31"/>
      <x:c r="D178" s="31"/>
      <x:c r="E178" s="31"/>
      <x:c r="F178" s="31"/>
      <x:c r="G178" s="39"/>
      <x:c r="H178" s="39"/>
      <x:c r="I178" s="31"/>
      <x:c r="J178" s="31"/>
      <x:c r="K178" s="31"/>
      <x:c r="L178" s="31"/>
    </x:row>
    <x:row r="179">
      <x:c r="A179" s="31"/>
      <x:c r="B179" s="31"/>
      <x:c r="C179" s="31"/>
      <x:c r="D179" s="31"/>
      <x:c r="E179" s="31"/>
      <x:c r="F179" s="31"/>
      <x:c r="G179" s="39"/>
      <x:c r="H179" s="39"/>
      <x:c r="I179" s="31"/>
      <x:c r="J179" s="31"/>
      <x:c r="K179" s="31"/>
      <x:c r="L179" s="31"/>
    </x:row>
    <x:row r="180">
      <x:c r="A180" s="31"/>
      <x:c r="B180" s="31"/>
      <x:c r="C180" s="31"/>
      <x:c r="D180" s="31"/>
      <x:c r="E180" s="31"/>
      <x:c r="F180" s="31"/>
      <x:c r="G180" s="39"/>
      <x:c r="H180" s="39"/>
      <x:c r="I180" s="31"/>
      <x:c r="J180" s="31"/>
      <x:c r="K180" s="31"/>
      <x:c r="L180" s="31"/>
    </x:row>
    <x:row r="181">
      <x:c r="A181" s="31"/>
      <x:c r="B181" s="31"/>
      <x:c r="C181" s="31"/>
      <x:c r="D181" s="31"/>
      <x:c r="E181" s="31"/>
      <x:c r="F181" s="31"/>
      <x:c r="G181" s="39"/>
      <x:c r="H181" s="39"/>
      <x:c r="I181" s="31"/>
      <x:c r="J181" s="31"/>
      <x:c r="K181" s="31"/>
      <x:c r="L181" s="31"/>
    </x:row>
    <x:row r="182">
      <x:c r="A182" s="31"/>
      <x:c r="B182" s="31"/>
      <x:c r="C182" s="31"/>
      <x:c r="D182" s="31"/>
      <x:c r="E182" s="31"/>
      <x:c r="F182" s="31"/>
      <x:c r="G182" s="39"/>
      <x:c r="H182" s="39"/>
      <x:c r="I182" s="31"/>
      <x:c r="J182" s="31"/>
      <x:c r="K182" s="31"/>
      <x:c r="L182" s="31"/>
    </x:row>
    <x:row r="183">
      <x:c r="A183" s="31"/>
      <x:c r="B183" s="31"/>
      <x:c r="C183" s="31"/>
      <x:c r="D183" s="31"/>
      <x:c r="E183" s="31"/>
      <x:c r="F183" s="31"/>
      <x:c r="G183" s="39"/>
      <x:c r="H183" s="39"/>
      <x:c r="I183" s="31"/>
      <x:c r="J183" s="31"/>
      <x:c r="K183" s="31"/>
      <x:c r="L183" s="31"/>
    </x:row>
    <x:row r="184">
      <x:c r="A184" s="31"/>
      <x:c r="B184" s="31"/>
      <x:c r="C184" s="31"/>
      <x:c r="D184" s="31"/>
      <x:c r="E184" s="31"/>
      <x:c r="F184" s="31"/>
      <x:c r="G184" s="39"/>
      <x:c r="H184" s="39"/>
      <x:c r="I184" s="31"/>
      <x:c r="J184" s="31"/>
      <x:c r="K184" s="31"/>
      <x:c r="L184" s="31"/>
    </x:row>
    <x:row r="185">
      <x:c r="A185" s="31"/>
      <x:c r="B185" s="31"/>
      <x:c r="C185" s="31"/>
      <x:c r="D185" s="31"/>
      <x:c r="E185" s="31"/>
      <x:c r="F185" s="31"/>
      <x:c r="G185" s="39"/>
      <x:c r="H185" s="39"/>
      <x:c r="I185" s="31"/>
      <x:c r="J185" s="31"/>
      <x:c r="K185" s="31"/>
      <x:c r="L185" s="31"/>
    </x:row>
    <x:row r="186">
      <x:c r="A186" s="31"/>
      <x:c r="B186" s="31"/>
      <x:c r="C186" s="31"/>
      <x:c r="D186" s="31"/>
      <x:c r="E186" s="31"/>
      <x:c r="F186" s="31"/>
      <x:c r="G186" s="39"/>
      <x:c r="H186" s="39"/>
      <x:c r="I186" s="31"/>
      <x:c r="J186" s="31"/>
      <x:c r="K186" s="31"/>
      <x:c r="L186" s="31"/>
    </x:row>
    <x:row r="187">
      <x:c r="A187" s="31"/>
      <x:c r="B187" s="31"/>
      <x:c r="C187" s="31"/>
      <x:c r="D187" s="31"/>
      <x:c r="E187" s="31"/>
      <x:c r="F187" s="31"/>
      <x:c r="G187" s="39"/>
      <x:c r="H187" s="39"/>
      <x:c r="I187" s="31"/>
      <x:c r="J187" s="31"/>
      <x:c r="K187" s="31"/>
      <x:c r="L187" s="31"/>
    </x:row>
    <x:row r="188">
      <x:c r="A188" s="31"/>
      <x:c r="B188" s="31"/>
      <x:c r="C188" s="31"/>
      <x:c r="D188" s="31"/>
      <x:c r="E188" s="31"/>
      <x:c r="F188" s="31"/>
      <x:c r="G188" s="39"/>
      <x:c r="H188" s="39"/>
      <x:c r="I188" s="31"/>
      <x:c r="J188" s="31"/>
      <x:c r="K188" s="31"/>
      <x:c r="L188" s="31"/>
    </x:row>
    <x:row r="189">
      <x:c r="A189" s="31"/>
      <x:c r="B189" s="31"/>
      <x:c r="C189" s="31"/>
      <x:c r="D189" s="31"/>
      <x:c r="E189" s="31"/>
      <x:c r="F189" s="31"/>
      <x:c r="G189" s="39"/>
      <x:c r="H189" s="39"/>
      <x:c r="I189" s="31"/>
      <x:c r="J189" s="31"/>
      <x:c r="K189" s="31"/>
      <x:c r="L189" s="31"/>
    </x:row>
    <x:row r="190">
      <x:c r="A190" s="31"/>
      <x:c r="B190" s="31"/>
      <x:c r="C190" s="31"/>
      <x:c r="D190" s="31"/>
      <x:c r="E190" s="31"/>
      <x:c r="F190" s="31"/>
      <x:c r="G190" s="39"/>
      <x:c r="H190" s="39"/>
      <x:c r="I190" s="31"/>
      <x:c r="J190" s="31"/>
      <x:c r="K190" s="31"/>
      <x:c r="L190" s="31"/>
    </x:row>
    <x:row r="191">
      <x:c r="A191" s="31"/>
      <x:c r="B191" s="31"/>
      <x:c r="C191" s="31"/>
      <x:c r="D191" s="31"/>
      <x:c r="E191" s="31"/>
      <x:c r="F191" s="31"/>
      <x:c r="G191" s="39"/>
      <x:c r="H191" s="39"/>
      <x:c r="I191" s="31"/>
      <x:c r="J191" s="31"/>
      <x:c r="K191" s="31"/>
      <x:c r="L191" s="31"/>
    </x:row>
    <x:row r="192">
      <x:c r="A192" s="31"/>
      <x:c r="B192" s="31"/>
      <x:c r="C192" s="31"/>
      <x:c r="D192" s="31"/>
      <x:c r="E192" s="31"/>
      <x:c r="F192" s="31"/>
      <x:c r="G192" s="39"/>
      <x:c r="H192" s="39"/>
      <x:c r="I192" s="31"/>
      <x:c r="J192" s="31"/>
      <x:c r="K192" s="31"/>
      <x:c r="L192" s="31"/>
    </x:row>
    <x:row r="193">
      <x:c r="A193" s="31"/>
      <x:c r="B193" s="31"/>
      <x:c r="C193" s="31"/>
      <x:c r="D193" s="31"/>
      <x:c r="E193" s="31"/>
      <x:c r="F193" s="31"/>
      <x:c r="G193" s="39"/>
      <x:c r="H193" s="39"/>
      <x:c r="I193" s="31"/>
      <x:c r="J193" s="31"/>
      <x:c r="K193" s="31"/>
      <x:c r="L193" s="31"/>
    </x:row>
    <x:row r="194">
      <x:c r="A194" s="31"/>
      <x:c r="B194" s="31"/>
      <x:c r="C194" s="31"/>
      <x:c r="D194" s="31"/>
      <x:c r="E194" s="31"/>
      <x:c r="F194" s="31"/>
      <x:c r="G194" s="39"/>
      <x:c r="H194" s="39"/>
      <x:c r="I194" s="31"/>
      <x:c r="J194" s="31"/>
      <x:c r="K194" s="31"/>
      <x:c r="L194" s="31"/>
    </x:row>
    <x:row r="195">
      <x:c r="A195" s="31"/>
      <x:c r="B195" s="31"/>
      <x:c r="C195" s="31"/>
      <x:c r="D195" s="31"/>
      <x:c r="E195" s="31"/>
      <x:c r="F195" s="31"/>
      <x:c r="G195" s="39"/>
      <x:c r="H195" s="39"/>
      <x:c r="I195" s="31"/>
      <x:c r="J195" s="31"/>
      <x:c r="K195" s="31"/>
      <x:c r="L195" s="31"/>
    </x:row>
    <x:row r="196">
      <x:c r="A196" s="31"/>
      <x:c r="B196" s="31"/>
      <x:c r="C196" s="31"/>
      <x:c r="D196" s="31"/>
      <x:c r="E196" s="31"/>
      <x:c r="F196" s="31"/>
      <x:c r="G196" s="39"/>
      <x:c r="H196" s="39"/>
      <x:c r="I196" s="31"/>
      <x:c r="J196" s="31"/>
      <x:c r="K196" s="31"/>
      <x:c r="L196" s="31"/>
    </x:row>
    <x:row r="197">
      <x:c r="A197" s="31"/>
      <x:c r="B197" s="31"/>
      <x:c r="C197" s="31"/>
      <x:c r="D197" s="31"/>
      <x:c r="E197" s="31"/>
      <x:c r="F197" s="31"/>
      <x:c r="G197" s="39"/>
      <x:c r="H197" s="39"/>
      <x:c r="I197" s="31"/>
      <x:c r="J197" s="31"/>
      <x:c r="K197" s="31"/>
      <x:c r="L197" s="31"/>
    </x:row>
    <x:row r="198">
      <x:c r="A198" s="31"/>
      <x:c r="B198" s="31"/>
      <x:c r="C198" s="31"/>
      <x:c r="D198" s="31"/>
      <x:c r="E198" s="31"/>
      <x:c r="F198" s="31"/>
      <x:c r="G198" s="39"/>
      <x:c r="H198" s="39"/>
      <x:c r="I198" s="31"/>
      <x:c r="J198" s="31"/>
      <x:c r="K198" s="31"/>
      <x:c r="L198" s="31"/>
    </x:row>
    <x:row r="199">
      <x:c r="A199" s="31"/>
      <x:c r="B199" s="31"/>
      <x:c r="C199" s="31"/>
      <x:c r="D199" s="31"/>
      <x:c r="E199" s="31"/>
      <x:c r="F199" s="31"/>
      <x:c r="G199" s="39"/>
      <x:c r="H199" s="39"/>
      <x:c r="I199" s="31"/>
      <x:c r="J199" s="31"/>
      <x:c r="K199" s="31"/>
      <x:c r="L199" s="31"/>
    </x:row>
    <x:row r="200">
      <x:c r="A200" s="31"/>
      <x:c r="B200" s="31"/>
      <x:c r="C200" s="31"/>
      <x:c r="D200" s="31"/>
      <x:c r="E200" s="31"/>
      <x:c r="F200" s="31"/>
      <x:c r="G200" s="39"/>
      <x:c r="H200" s="39"/>
      <x:c r="I200" s="31"/>
      <x:c r="J200" s="31"/>
      <x:c r="K200" s="31"/>
      <x:c r="L200" s="31"/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b87d6fc106be41e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6" hidden="0" customWidth="1"/>
    <x:col min="3" max="3" width="22" hidden="0" customWidth="1"/>
    <x:col min="4" max="4" width="34" hidden="0" customWidth="1"/>
    <x:col min="5" max="5" width="16" hidden="0" customWidth="1"/>
    <x:col min="6" max="6" width="16" hidden="0" customWidth="1"/>
    <x:col min="7" max="7" width="18" hidden="0" customWidth="1"/>
    <x:col min="8" max="8" width="18" hidden="0" customWidth="1"/>
  </x:cols>
  <x:sheetData>
    <x:row r="1" ht="30" customHeight="1">
      <x:c r="A1" s="30" t="str">
        <x:v>Definitions &amp; Dropdown Lists</x:v>
      </x:c>
      <x:c r="B1" s="31"/>
      <x:c r="C1" s="31"/>
      <x:c r="D1" s="31"/>
      <x:c r="E1" s="31"/>
      <x:c r="F1" s="31"/>
      <x:c r="G1" s="31"/>
      <x:c r="H1" s="31"/>
    </x:row>
    <x:row r="2">
      <x:c r="A2" s="31"/>
      <x:c r="B2" s="31"/>
      <x:c r="C2" s="31"/>
      <x:c r="D2" s="31"/>
      <x:c r="E2" s="31"/>
      <x:c r="F2" s="31"/>
      <x:c r="G2" s="31"/>
      <x:c r="H2" s="31"/>
    </x:row>
    <x:row r="3">
      <x:c r="A3" s="36" t="str">
        <x:v>Status</x:v>
      </x:c>
      <x:c r="B3" s="36" t="str">
        <x:v>Priority</x:v>
      </x:c>
      <x:c r="C3" s="36" t="str">
        <x:v>Readiness</x:v>
      </x:c>
      <x:c r="D3" s="36" t="str">
        <x:v>Verification</x:v>
      </x:c>
      <x:c r="E3" s="36" t="str">
        <x:v>Risk</x:v>
      </x:c>
      <x:c r="F3" s="36" t="str">
        <x:v>Owner</x:v>
      </x:c>
      <x:c r="G3" s="36" t="str">
        <x:v>Layer</x:v>
      </x:c>
      <x:c r="H3" s="36" t="str">
        <x:v>Change Type</x:v>
      </x:c>
    </x:row>
    <x:row r="4">
      <x:c r="A4" s="31" t="str">
        <x:v>Not Started</x:v>
      </x:c>
      <x:c r="B4" s="31" t="str">
        <x:v>Critical</x:v>
      </x:c>
      <x:c r="C4" s="31" t="str">
        <x:v>Not Ready</x:v>
      </x:c>
      <x:c r="D4" s="31" t="str">
        <x:v>Verified - Source</x:v>
      </x:c>
      <x:c r="E4" s="31" t="str">
        <x:v>Critical</x:v>
      </x:c>
      <x:c r="F4" s="31" t="str">
        <x:v>Product</x:v>
      </x:c>
      <x:c r="G4" s="31" t="str">
        <x:v>UI</x:v>
      </x:c>
      <x:c r="H4" s="31" t="str">
        <x:v>Feature Update</x:v>
      </x:c>
    </x:row>
    <x:row r="5">
      <x:c r="A5" s="31" t="str">
        <x:v>Planned</x:v>
      </x:c>
      <x:c r="B5" s="31" t="str">
        <x:v>High</x:v>
      </x:c>
      <x:c r="C5" s="31" t="str">
        <x:v>In Build</x:v>
      </x:c>
      <x:c r="D5" s="31" t="str">
        <x:v>Documented - Not Runtime Verified</x:v>
      </x:c>
      <x:c r="E5" s="31" t="str">
        <x:v>High</x:v>
      </x:c>
      <x:c r="F5" s="31" t="str">
        <x:v>Backend</x:v>
      </x:c>
      <x:c r="G5" s="31" t="str">
        <x:v>Backend/API</x:v>
      </x:c>
      <x:c r="H5" s="31" t="str">
        <x:v>Status Update</x:v>
      </x:c>
    </x:row>
    <x:row r="6">
      <x:c r="A6" s="31" t="str">
        <x:v>In Progress</x:v>
      </x:c>
      <x:c r="B6" s="31" t="str">
        <x:v>Medium</x:v>
      </x:c>
      <x:c r="C6" s="31" t="str">
        <x:v>Needs QA</x:v>
      </x:c>
      <x:c r="D6" s="31" t="str">
        <x:v>Unknown / Needs Verification</x:v>
      </x:c>
      <x:c r="E6" s="31" t="str">
        <x:v>Medium</x:v>
      </x:c>
      <x:c r="F6" s="31" t="str">
        <x:v>Frontend</x:v>
      </x:c>
      <x:c r="G6" s="31" t="str">
        <x:v>Database</x:v>
      </x:c>
      <x:c r="H6" s="31" t="str">
        <x:v>Bug Fix</x:v>
      </x:c>
    </x:row>
    <x:row r="7">
      <x:c r="A7" s="31" t="str">
        <x:v>Blocked</x:v>
      </x:c>
      <x:c r="B7" s="31" t="str">
        <x:v>Low</x:v>
      </x:c>
      <x:c r="C7" s="31" t="str">
        <x:v>Pilot Ready</x:v>
      </x:c>
      <x:c r="D7" s="31" t="str"/>
      <x:c r="E7" s="31" t="str">
        <x:v>Low</x:v>
      </x:c>
      <x:c r="F7" s="31" t="str">
        <x:v>QA</x:v>
      </x:c>
      <x:c r="G7" s="31" t="str">
        <x:v>Security</x:v>
      </x:c>
      <x:c r="H7" s="31" t="str">
        <x:v>Release</x:v>
      </x:c>
    </x:row>
    <x:row r="8">
      <x:c r="A8" s="31" t="str">
        <x:v>Ready for QA</x:v>
      </x:c>
      <x:c r="B8" s="31" t="str"/>
      <x:c r="C8" s="31" t="str">
        <x:v>Production Ready</x:v>
      </x:c>
      <x:c r="D8" s="31" t="str"/>
      <x:c r="E8" s="31" t="str"/>
      <x:c r="F8" s="31" t="str">
        <x:v>DevOps</x:v>
      </x:c>
      <x:c r="G8" s="31" t="str">
        <x:v>Integration</x:v>
      </x:c>
      <x:c r="H8" s="31" t="str">
        <x:v>Data Correction</x:v>
      </x:c>
    </x:row>
    <x:row r="9">
      <x:c r="A9" s="31" t="str">
        <x:v>Done</x:v>
      </x:c>
      <x:c r="B9" s="31" t="str"/>
      <x:c r="C9" s="31" t="str"/>
      <x:c r="D9" s="31" t="str"/>
      <x:c r="E9" s="31" t="str"/>
      <x:c r="F9" s="31" t="str">
        <x:v>Unassigned</x:v>
      </x:c>
      <x:c r="G9" s="31" t="str">
        <x:v>Testing</x:v>
      </x:c>
      <x:c r="H9" s="31" t="str">
        <x:v>Documentation</x:v>
      </x:c>
    </x:row>
    <x:row r="10">
      <x:c r="A10" s="31" t="str">
        <x:v>Deferred</x:v>
      </x:c>
      <x:c r="B10" s="31" t="str"/>
      <x:c r="C10" s="31" t="str"/>
      <x:c r="D10" s="31" t="str"/>
      <x:c r="E10" s="31" t="str"/>
      <x:c r="F10" s="31" t="str"/>
      <x:c r="G10" s="31" t="str">
        <x:v>Business Rule</x:v>
      </x:c>
      <x:c r="H10" s="31" t="str">
        <x:v>Future Vision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b535d2c5e5c1431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8" hidden="0" customWidth="1"/>
    <x:col min="4" max="4" width="24" hidden="0" customWidth="1"/>
    <x:col min="5" max="5" width="18" hidden="0" customWidth="1"/>
    <x:col min="6" max="6" width="28" hidden="0" customWidth="1"/>
    <x:col min="7" max="7" width="28" hidden="0" customWidth="1"/>
    <x:col min="8" max="8" width="40" hidden="0" customWidth="1"/>
    <x:col min="9" max="9" width="42" hidden="0" customWidth="1"/>
    <x:col min="10" max="10" width="32" hidden="0" customWidth="1"/>
  </x:cols>
  <x:sheetData>
    <x:row r="1" ht="30" customHeight="1">
      <x:c r="A1" s="30" t="str">
        <x:v>Change Log — record every meaningful tracker update</x:v>
      </x:c>
      <x:c r="B1" s="31"/>
      <x:c r="C1" s="31"/>
      <x:c r="D1" s="31"/>
      <x:c r="E1" s="31"/>
      <x:c r="F1" s="31"/>
      <x:c r="G1" s="31"/>
      <x:c r="H1" s="31"/>
      <x:c r="I1" s="31"/>
      <x:c r="J1" s="31"/>
    </x:row>
    <x:row r="2">
      <x:c r="A2" s="31"/>
      <x:c r="B2" s="31"/>
      <x:c r="C2" s="31"/>
      <x:c r="D2" s="31"/>
      <x:c r="E2" s="31"/>
      <x:c r="F2" s="31"/>
      <x:c r="G2" s="31"/>
      <x:c r="H2" s="31"/>
      <x:c r="I2" s="31"/>
      <x:c r="J2" s="31"/>
    </x:row>
    <x:row r="3">
      <x:c r="A3" s="36" t="str">
        <x:v>Change ID</x:v>
      </x:c>
      <x:c r="B3" s="36" t="str">
        <x:v>Date</x:v>
      </x:c>
      <x:c r="C3" s="36" t="str">
        <x:v>Changed By</x:v>
      </x:c>
      <x:c r="D3" s="36" t="str">
        <x:v>Sheet / Item</x:v>
      </x:c>
      <x:c r="E3" s="36" t="str">
        <x:v>Change Type</x:v>
      </x:c>
      <x:c r="F3" s="36" t="str">
        <x:v>Before</x:v>
      </x:c>
      <x:c r="G3" s="36" t="str">
        <x:v>After</x:v>
      </x:c>
      <x:c r="H3" s="36" t="str">
        <x:v>Reason / Decision</x:v>
      </x:c>
      <x:c r="I3" s="36" t="str">
        <x:v>Evidence Link / Source</x:v>
      </x:c>
      <x:c r="J3" s="36" t="str">
        <x:v>Follow-up</x:v>
      </x:c>
    </x:row>
    <x:row r="4">
      <x:c r="A4" s="31" t="str">
        <x:v>CL-001</x:v>
      </x:c>
      <x:c r="B4" s="39" t="n">
        <x:v>46268</x:v>
      </x:c>
      <x:c r="C4" s="31" t="str">
        <x:v>Codex</x:v>
      </x:c>
      <x:c r="D4" s="31" t="str">
        <x:v>Initial workbook</x:v>
      </x:c>
      <x:c r="E4" s="31" t="str">
        <x:v>Initial Baseline</x:v>
      </x:c>
      <x:c r="F4" s="31" t="str"/>
      <x:c r="G4" s="31" t="str"/>
      <x:c r="H4" s="31" t="str">
        <x:v>Created from code/docs scan; unknowns marked explicitly</x:v>
      </x:c>
      <x:c r="I4" s="31" t="str">
        <x:v>Backend README, React docs, QA README</x:v>
      </x:c>
      <x:c r="J4" s="31" t="str">
        <x:v>Assign owners/dates and validate runtime evidence</x:v>
      </x:c>
    </x:row>
    <x:row r="5">
      <x:c r="A5" s="31" t="str">
        <x:v>CL-002</x:v>
      </x:c>
      <x:c r="B5" s="39"/>
      <x:c r="C5" s="31" t="str"/>
      <x:c r="D5" s="31" t="str"/>
      <x:c r="E5" s="31" t="str"/>
      <x:c r="F5" s="31" t="str"/>
      <x:c r="G5" s="31" t="str"/>
      <x:c r="H5" s="31" t="str"/>
      <x:c r="I5" s="31" t="str"/>
      <x:c r="J5" s="31" t="str"/>
    </x:row>
    <x:row r="6">
      <x:c r="A6" s="31"/>
      <x:c r="B6" s="39"/>
      <x:c r="C6" s="31"/>
      <x:c r="D6" s="31"/>
      <x:c r="E6" s="31"/>
      <x:c r="F6" s="31"/>
      <x:c r="G6" s="31"/>
      <x:c r="H6" s="31"/>
      <x:c r="I6" s="31"/>
      <x:c r="J6" s="31"/>
    </x:row>
    <x:row r="7">
      <x:c r="A7" s="31"/>
      <x:c r="B7" s="39"/>
      <x:c r="C7" s="31"/>
      <x:c r="D7" s="31"/>
      <x:c r="E7" s="31"/>
      <x:c r="F7" s="31"/>
      <x:c r="G7" s="31"/>
      <x:c r="H7" s="31"/>
      <x:c r="I7" s="31"/>
      <x:c r="J7" s="31"/>
    </x:row>
    <x:row r="8">
      <x:c r="A8" s="31"/>
      <x:c r="B8" s="39"/>
      <x:c r="C8" s="31"/>
      <x:c r="D8" s="31"/>
      <x:c r="E8" s="31"/>
      <x:c r="F8" s="31"/>
      <x:c r="G8" s="31"/>
      <x:c r="H8" s="31"/>
      <x:c r="I8" s="31"/>
      <x:c r="J8" s="31"/>
    </x:row>
    <x:row r="9">
      <x:c r="A9" s="31"/>
      <x:c r="B9" s="39"/>
      <x:c r="C9" s="31"/>
      <x:c r="D9" s="31"/>
      <x:c r="E9" s="31"/>
      <x:c r="F9" s="31"/>
      <x:c r="G9" s="31"/>
      <x:c r="H9" s="31"/>
      <x:c r="I9" s="31"/>
      <x:c r="J9" s="31"/>
    </x:row>
    <x:row r="10">
      <x:c r="A10" s="31"/>
      <x:c r="B10" s="39"/>
      <x:c r="C10" s="31"/>
      <x:c r="D10" s="31"/>
      <x:c r="E10" s="31"/>
      <x:c r="F10" s="31"/>
      <x:c r="G10" s="31"/>
      <x:c r="H10" s="31"/>
      <x:c r="I10" s="31"/>
      <x:c r="J10" s="31"/>
    </x:row>
    <x:row r="11">
      <x:c r="A11" s="31"/>
      <x:c r="B11" s="39"/>
      <x:c r="C11" s="31"/>
      <x:c r="D11" s="31"/>
      <x:c r="E11" s="31"/>
      <x:c r="F11" s="31"/>
      <x:c r="G11" s="31"/>
      <x:c r="H11" s="31"/>
      <x:c r="I11" s="31"/>
      <x:c r="J11" s="31"/>
    </x:row>
    <x:row r="12">
      <x:c r="A12" s="31"/>
      <x:c r="B12" s="39"/>
      <x:c r="C12" s="31"/>
      <x:c r="D12" s="31"/>
      <x:c r="E12" s="31"/>
      <x:c r="F12" s="31"/>
      <x:c r="G12" s="31"/>
      <x:c r="H12" s="31"/>
      <x:c r="I12" s="31"/>
      <x:c r="J12" s="31"/>
    </x:row>
    <x:row r="13">
      <x:c r="A13" s="31"/>
      <x:c r="B13" s="39"/>
      <x:c r="C13" s="31"/>
      <x:c r="D13" s="31"/>
      <x:c r="E13" s="31"/>
      <x:c r="F13" s="31"/>
      <x:c r="G13" s="31"/>
      <x:c r="H13" s="31"/>
      <x:c r="I13" s="31"/>
      <x:c r="J13" s="31"/>
    </x:row>
    <x:row r="14">
      <x:c r="A14" s="31"/>
      <x:c r="B14" s="39"/>
      <x:c r="C14" s="31"/>
      <x:c r="D14" s="31"/>
      <x:c r="E14" s="31"/>
      <x:c r="F14" s="31"/>
      <x:c r="G14" s="31"/>
      <x:c r="H14" s="31"/>
      <x:c r="I14" s="31"/>
      <x:c r="J14" s="31"/>
    </x:row>
    <x:row r="15">
      <x:c r="A15" s="31"/>
      <x:c r="B15" s="39"/>
      <x:c r="C15" s="31"/>
      <x:c r="D15" s="31"/>
      <x:c r="E15" s="31"/>
      <x:c r="F15" s="31"/>
      <x:c r="G15" s="31"/>
      <x:c r="H15" s="31"/>
      <x:c r="I15" s="31"/>
      <x:c r="J15" s="31"/>
    </x:row>
    <x:row r="16">
      <x:c r="A16" s="31"/>
      <x:c r="B16" s="39"/>
      <x:c r="C16" s="31"/>
      <x:c r="D16" s="31"/>
      <x:c r="E16" s="31"/>
      <x:c r="F16" s="31"/>
      <x:c r="G16" s="31"/>
      <x:c r="H16" s="31"/>
      <x:c r="I16" s="31"/>
      <x:c r="J16" s="31"/>
    </x:row>
    <x:row r="17">
      <x:c r="A17" s="31"/>
      <x:c r="B17" s="39"/>
      <x:c r="C17" s="31"/>
      <x:c r="D17" s="31"/>
      <x:c r="E17" s="31"/>
      <x:c r="F17" s="31"/>
      <x:c r="G17" s="31"/>
      <x:c r="H17" s="31"/>
      <x:c r="I17" s="31"/>
      <x:c r="J17" s="31"/>
    </x:row>
    <x:row r="18">
      <x:c r="A18" s="31"/>
      <x:c r="B18" s="39"/>
      <x:c r="C18" s="31"/>
      <x:c r="D18" s="31"/>
      <x:c r="E18" s="31"/>
      <x:c r="F18" s="31"/>
      <x:c r="G18" s="31"/>
      <x:c r="H18" s="31"/>
      <x:c r="I18" s="31"/>
      <x:c r="J18" s="31"/>
    </x:row>
    <x:row r="19">
      <x:c r="A19" s="31"/>
      <x:c r="B19" s="39"/>
      <x:c r="C19" s="31"/>
      <x:c r="D19" s="31"/>
      <x:c r="E19" s="31"/>
      <x:c r="F19" s="31"/>
      <x:c r="G19" s="31"/>
      <x:c r="H19" s="31"/>
      <x:c r="I19" s="31"/>
      <x:c r="J19" s="31"/>
    </x:row>
    <x:row r="20">
      <x:c r="A20" s="31"/>
      <x:c r="B20" s="39"/>
      <x:c r="C20" s="31"/>
      <x:c r="D20" s="31"/>
      <x:c r="E20" s="31"/>
      <x:c r="F20" s="31"/>
      <x:c r="G20" s="31"/>
      <x:c r="H20" s="31"/>
      <x:c r="I20" s="31"/>
      <x:c r="J20" s="31"/>
    </x:row>
    <x:row r="21">
      <x:c r="A21" s="31"/>
      <x:c r="B21" s="39"/>
      <x:c r="C21" s="31"/>
      <x:c r="D21" s="31"/>
      <x:c r="E21" s="31"/>
      <x:c r="F21" s="31"/>
      <x:c r="G21" s="31"/>
      <x:c r="H21" s="31"/>
      <x:c r="I21" s="31"/>
      <x:c r="J21" s="31"/>
    </x:row>
    <x:row r="22">
      <x:c r="A22" s="31"/>
      <x:c r="B22" s="39"/>
      <x:c r="C22" s="31"/>
      <x:c r="D22" s="31"/>
      <x:c r="E22" s="31"/>
      <x:c r="F22" s="31"/>
      <x:c r="G22" s="31"/>
      <x:c r="H22" s="31"/>
      <x:c r="I22" s="31"/>
      <x:c r="J22" s="31"/>
    </x:row>
    <x:row r="23">
      <x:c r="A23" s="31"/>
      <x:c r="B23" s="39"/>
      <x:c r="C23" s="31"/>
      <x:c r="D23" s="31"/>
      <x:c r="E23" s="31"/>
      <x:c r="F23" s="31"/>
      <x:c r="G23" s="31"/>
      <x:c r="H23" s="31"/>
      <x:c r="I23" s="31"/>
      <x:c r="J23" s="31"/>
    </x:row>
    <x:row r="24">
      <x:c r="A24" s="31"/>
      <x:c r="B24" s="39"/>
      <x:c r="C24" s="31"/>
      <x:c r="D24" s="31"/>
      <x:c r="E24" s="31"/>
      <x:c r="F24" s="31"/>
      <x:c r="G24" s="31"/>
      <x:c r="H24" s="31"/>
      <x:c r="I24" s="31"/>
      <x:c r="J24" s="31"/>
    </x:row>
    <x:row r="25">
      <x:c r="A25" s="31"/>
      <x:c r="B25" s="39"/>
      <x:c r="C25" s="31"/>
      <x:c r="D25" s="31"/>
      <x:c r="E25" s="31"/>
      <x:c r="F25" s="31"/>
      <x:c r="G25" s="31"/>
      <x:c r="H25" s="31"/>
      <x:c r="I25" s="31"/>
      <x:c r="J25" s="31"/>
    </x:row>
    <x:row r="26">
      <x:c r="A26" s="31"/>
      <x:c r="B26" s="39"/>
      <x:c r="C26" s="31"/>
      <x:c r="D26" s="31"/>
      <x:c r="E26" s="31"/>
      <x:c r="F26" s="31"/>
      <x:c r="G26" s="31"/>
      <x:c r="H26" s="31"/>
      <x:c r="I26" s="31"/>
      <x:c r="J26" s="31"/>
    </x:row>
    <x:row r="27">
      <x:c r="A27" s="31"/>
      <x:c r="B27" s="39"/>
      <x:c r="C27" s="31"/>
      <x:c r="D27" s="31"/>
      <x:c r="E27" s="31"/>
      <x:c r="F27" s="31"/>
      <x:c r="G27" s="31"/>
      <x:c r="H27" s="31"/>
      <x:c r="I27" s="31"/>
      <x:c r="J27" s="31"/>
    </x:row>
    <x:row r="28">
      <x:c r="A28" s="31"/>
      <x:c r="B28" s="39"/>
      <x:c r="C28" s="31"/>
      <x:c r="D28" s="31"/>
      <x:c r="E28" s="31"/>
      <x:c r="F28" s="31"/>
      <x:c r="G28" s="31"/>
      <x:c r="H28" s="31"/>
      <x:c r="I28" s="31"/>
      <x:c r="J28" s="31"/>
    </x:row>
    <x:row r="29">
      <x:c r="A29" s="31"/>
      <x:c r="B29" s="39"/>
      <x:c r="C29" s="31"/>
      <x:c r="D29" s="31"/>
      <x:c r="E29" s="31"/>
      <x:c r="F29" s="31"/>
      <x:c r="G29" s="31"/>
      <x:c r="H29" s="31"/>
      <x:c r="I29" s="31"/>
      <x:c r="J29" s="31"/>
    </x:row>
    <x:row r="30">
      <x:c r="A30" s="31"/>
      <x:c r="B30" s="39"/>
      <x:c r="C30" s="31"/>
      <x:c r="D30" s="31"/>
      <x:c r="E30" s="31"/>
      <x:c r="F30" s="31"/>
      <x:c r="G30" s="31"/>
      <x:c r="H30" s="31"/>
      <x:c r="I30" s="31"/>
      <x:c r="J30" s="31"/>
    </x:row>
    <x:row r="31">
      <x:c r="A31" s="31"/>
      <x:c r="B31" s="39"/>
      <x:c r="C31" s="31"/>
      <x:c r="D31" s="31"/>
      <x:c r="E31" s="31"/>
      <x:c r="F31" s="31"/>
      <x:c r="G31" s="31"/>
      <x:c r="H31" s="31"/>
      <x:c r="I31" s="31"/>
      <x:c r="J31" s="31"/>
    </x:row>
    <x:row r="32">
      <x:c r="A32" s="31"/>
      <x:c r="B32" s="39"/>
      <x:c r="C32" s="31"/>
      <x:c r="D32" s="31"/>
      <x:c r="E32" s="31"/>
      <x:c r="F32" s="31"/>
      <x:c r="G32" s="31"/>
      <x:c r="H32" s="31"/>
      <x:c r="I32" s="31"/>
      <x:c r="J32" s="31"/>
    </x:row>
    <x:row r="33">
      <x:c r="A33" s="31"/>
      <x:c r="B33" s="39"/>
      <x:c r="C33" s="31"/>
      <x:c r="D33" s="31"/>
      <x:c r="E33" s="31"/>
      <x:c r="F33" s="31"/>
      <x:c r="G33" s="31"/>
      <x:c r="H33" s="31"/>
      <x:c r="I33" s="31"/>
      <x:c r="J33" s="31"/>
    </x:row>
    <x:row r="34">
      <x:c r="A34" s="31"/>
      <x:c r="B34" s="39"/>
      <x:c r="C34" s="31"/>
      <x:c r="D34" s="31"/>
      <x:c r="E34" s="31"/>
      <x:c r="F34" s="31"/>
      <x:c r="G34" s="31"/>
      <x:c r="H34" s="31"/>
      <x:c r="I34" s="31"/>
      <x:c r="J34" s="31"/>
    </x:row>
    <x:row r="35">
      <x:c r="A35" s="31"/>
      <x:c r="B35" s="39"/>
      <x:c r="C35" s="31"/>
      <x:c r="D35" s="31"/>
      <x:c r="E35" s="31"/>
      <x:c r="F35" s="31"/>
      <x:c r="G35" s="31"/>
      <x:c r="H35" s="31"/>
      <x:c r="I35" s="31"/>
      <x:c r="J35" s="31"/>
    </x:row>
    <x:row r="36">
      <x:c r="A36" s="31"/>
      <x:c r="B36" s="39"/>
      <x:c r="C36" s="31"/>
      <x:c r="D36" s="31"/>
      <x:c r="E36" s="31"/>
      <x:c r="F36" s="31"/>
      <x:c r="G36" s="31"/>
      <x:c r="H36" s="31"/>
      <x:c r="I36" s="31"/>
      <x:c r="J36" s="31"/>
    </x:row>
    <x:row r="37">
      <x:c r="A37" s="31"/>
      <x:c r="B37" s="39"/>
      <x:c r="C37" s="31"/>
      <x:c r="D37" s="31"/>
      <x:c r="E37" s="31"/>
      <x:c r="F37" s="31"/>
      <x:c r="G37" s="31"/>
      <x:c r="H37" s="31"/>
      <x:c r="I37" s="31"/>
      <x:c r="J37" s="31"/>
    </x:row>
    <x:row r="38">
      <x:c r="A38" s="31"/>
      <x:c r="B38" s="39"/>
      <x:c r="C38" s="31"/>
      <x:c r="D38" s="31"/>
      <x:c r="E38" s="31"/>
      <x:c r="F38" s="31"/>
      <x:c r="G38" s="31"/>
      <x:c r="H38" s="31"/>
      <x:c r="I38" s="31"/>
      <x:c r="J38" s="31"/>
    </x:row>
    <x:row r="39">
      <x:c r="A39" s="31"/>
      <x:c r="B39" s="39"/>
      <x:c r="C39" s="31"/>
      <x:c r="D39" s="31"/>
      <x:c r="E39" s="31"/>
      <x:c r="F39" s="31"/>
      <x:c r="G39" s="31"/>
      <x:c r="H39" s="31"/>
      <x:c r="I39" s="31"/>
      <x:c r="J39" s="31"/>
    </x:row>
    <x:row r="40">
      <x:c r="A40" s="31"/>
      <x:c r="B40" s="39"/>
      <x:c r="C40" s="31"/>
      <x:c r="D40" s="31"/>
      <x:c r="E40" s="31"/>
      <x:c r="F40" s="31"/>
      <x:c r="G40" s="31"/>
      <x:c r="H40" s="31"/>
      <x:c r="I40" s="31"/>
      <x:c r="J40" s="31"/>
    </x:row>
    <x:row r="41">
      <x:c r="A41" s="31"/>
      <x:c r="B41" s="39"/>
      <x:c r="C41" s="31"/>
      <x:c r="D41" s="31"/>
      <x:c r="E41" s="31"/>
      <x:c r="F41" s="31"/>
      <x:c r="G41" s="31"/>
      <x:c r="H41" s="31"/>
      <x:c r="I41" s="31"/>
      <x:c r="J41" s="31"/>
    </x:row>
    <x:row r="42">
      <x:c r="A42" s="31"/>
      <x:c r="B42" s="39"/>
      <x:c r="C42" s="31"/>
      <x:c r="D42" s="31"/>
      <x:c r="E42" s="31"/>
      <x:c r="F42" s="31"/>
      <x:c r="G42" s="31"/>
      <x:c r="H42" s="31"/>
      <x:c r="I42" s="31"/>
      <x:c r="J42" s="31"/>
    </x:row>
    <x:row r="43">
      <x:c r="A43" s="31"/>
      <x:c r="B43" s="39"/>
      <x:c r="C43" s="31"/>
      <x:c r="D43" s="31"/>
      <x:c r="E43" s="31"/>
      <x:c r="F43" s="31"/>
      <x:c r="G43" s="31"/>
      <x:c r="H43" s="31"/>
      <x:c r="I43" s="31"/>
      <x:c r="J43" s="31"/>
    </x:row>
    <x:row r="44">
      <x:c r="A44" s="31"/>
      <x:c r="B44" s="39"/>
      <x:c r="C44" s="31"/>
      <x:c r="D44" s="31"/>
      <x:c r="E44" s="31"/>
      <x:c r="F44" s="31"/>
      <x:c r="G44" s="31"/>
      <x:c r="H44" s="31"/>
      <x:c r="I44" s="31"/>
      <x:c r="J44" s="31"/>
    </x:row>
    <x:row r="45">
      <x:c r="A45" s="31"/>
      <x:c r="B45" s="39"/>
      <x:c r="C45" s="31"/>
      <x:c r="D45" s="31"/>
      <x:c r="E45" s="31"/>
      <x:c r="F45" s="31"/>
      <x:c r="G45" s="31"/>
      <x:c r="H45" s="31"/>
      <x:c r="I45" s="31"/>
      <x:c r="J45" s="31"/>
    </x:row>
    <x:row r="46">
      <x:c r="A46" s="31"/>
      <x:c r="B46" s="39"/>
      <x:c r="C46" s="31"/>
      <x:c r="D46" s="31"/>
      <x:c r="E46" s="31"/>
      <x:c r="F46" s="31"/>
      <x:c r="G46" s="31"/>
      <x:c r="H46" s="31"/>
      <x:c r="I46" s="31"/>
      <x:c r="J46" s="31"/>
    </x:row>
    <x:row r="47">
      <x:c r="A47" s="31"/>
      <x:c r="B47" s="39"/>
      <x:c r="C47" s="31"/>
      <x:c r="D47" s="31"/>
      <x:c r="E47" s="31"/>
      <x:c r="F47" s="31"/>
      <x:c r="G47" s="31"/>
      <x:c r="H47" s="31"/>
      <x:c r="I47" s="31"/>
      <x:c r="J47" s="31"/>
    </x:row>
    <x:row r="48">
      <x:c r="A48" s="31"/>
      <x:c r="B48" s="39"/>
      <x:c r="C48" s="31"/>
      <x:c r="D48" s="31"/>
      <x:c r="E48" s="31"/>
      <x:c r="F48" s="31"/>
      <x:c r="G48" s="31"/>
      <x:c r="H48" s="31"/>
      <x:c r="I48" s="31"/>
      <x:c r="J48" s="31"/>
    </x:row>
    <x:row r="49">
      <x:c r="A49" s="31"/>
      <x:c r="B49" s="39"/>
      <x:c r="C49" s="31"/>
      <x:c r="D49" s="31"/>
      <x:c r="E49" s="31"/>
      <x:c r="F49" s="31"/>
      <x:c r="G49" s="31"/>
      <x:c r="H49" s="31"/>
      <x:c r="I49" s="31"/>
      <x:c r="J49" s="31"/>
    </x:row>
    <x:row r="50">
      <x:c r="A50" s="31"/>
      <x:c r="B50" s="39"/>
      <x:c r="C50" s="31"/>
      <x:c r="D50" s="31"/>
      <x:c r="E50" s="31"/>
      <x:c r="F50" s="31"/>
      <x:c r="G50" s="31"/>
      <x:c r="H50" s="31"/>
      <x:c r="I50" s="31"/>
      <x:c r="J50" s="31"/>
    </x:row>
    <x:row r="51">
      <x:c r="A51" s="31"/>
      <x:c r="B51" s="39"/>
      <x:c r="C51" s="31"/>
      <x:c r="D51" s="31"/>
      <x:c r="E51" s="31"/>
      <x:c r="F51" s="31"/>
      <x:c r="G51" s="31"/>
      <x:c r="H51" s="31"/>
      <x:c r="I51" s="31"/>
      <x:c r="J51" s="31"/>
    </x:row>
    <x:row r="52">
      <x:c r="A52" s="31"/>
      <x:c r="B52" s="39"/>
      <x:c r="C52" s="31"/>
      <x:c r="D52" s="31"/>
      <x:c r="E52" s="31"/>
      <x:c r="F52" s="31"/>
      <x:c r="G52" s="31"/>
      <x:c r="H52" s="31"/>
      <x:c r="I52" s="31"/>
      <x:c r="J52" s="31"/>
    </x:row>
    <x:row r="53">
      <x:c r="A53" s="31"/>
      <x:c r="B53" s="39"/>
      <x:c r="C53" s="31"/>
      <x:c r="D53" s="31"/>
      <x:c r="E53" s="31"/>
      <x:c r="F53" s="31"/>
      <x:c r="G53" s="31"/>
      <x:c r="H53" s="31"/>
      <x:c r="I53" s="31"/>
      <x:c r="J53" s="31"/>
    </x:row>
    <x:row r="54">
      <x:c r="A54" s="31"/>
      <x:c r="B54" s="39"/>
      <x:c r="C54" s="31"/>
      <x:c r="D54" s="31"/>
      <x:c r="E54" s="31"/>
      <x:c r="F54" s="31"/>
      <x:c r="G54" s="31"/>
      <x:c r="H54" s="31"/>
      <x:c r="I54" s="31"/>
      <x:c r="J54" s="31"/>
    </x:row>
    <x:row r="55">
      <x:c r="A55" s="31"/>
      <x:c r="B55" s="39"/>
      <x:c r="C55" s="31"/>
      <x:c r="D55" s="31"/>
      <x:c r="E55" s="31"/>
      <x:c r="F55" s="31"/>
      <x:c r="G55" s="31"/>
      <x:c r="H55" s="31"/>
      <x:c r="I55" s="31"/>
      <x:c r="J55" s="31"/>
    </x:row>
    <x:row r="56">
      <x:c r="A56" s="31"/>
      <x:c r="B56" s="39"/>
      <x:c r="C56" s="31"/>
      <x:c r="D56" s="31"/>
      <x:c r="E56" s="31"/>
      <x:c r="F56" s="31"/>
      <x:c r="G56" s="31"/>
      <x:c r="H56" s="31"/>
      <x:c r="I56" s="31"/>
      <x:c r="J56" s="31"/>
    </x:row>
    <x:row r="57">
      <x:c r="A57" s="31"/>
      <x:c r="B57" s="39"/>
      <x:c r="C57" s="31"/>
      <x:c r="D57" s="31"/>
      <x:c r="E57" s="31"/>
      <x:c r="F57" s="31"/>
      <x:c r="G57" s="31"/>
      <x:c r="H57" s="31"/>
      <x:c r="I57" s="31"/>
      <x:c r="J57" s="31"/>
    </x:row>
    <x:row r="58">
      <x:c r="A58" s="31"/>
      <x:c r="B58" s="39"/>
      <x:c r="C58" s="31"/>
      <x:c r="D58" s="31"/>
      <x:c r="E58" s="31"/>
      <x:c r="F58" s="31"/>
      <x:c r="G58" s="31"/>
      <x:c r="H58" s="31"/>
      <x:c r="I58" s="31"/>
      <x:c r="J58" s="31"/>
    </x:row>
    <x:row r="59">
      <x:c r="A59" s="31"/>
      <x:c r="B59" s="39"/>
      <x:c r="C59" s="31"/>
      <x:c r="D59" s="31"/>
      <x:c r="E59" s="31"/>
      <x:c r="F59" s="31"/>
      <x:c r="G59" s="31"/>
      <x:c r="H59" s="31"/>
      <x:c r="I59" s="31"/>
      <x:c r="J59" s="31"/>
    </x:row>
    <x:row r="60">
      <x:c r="A60" s="31"/>
      <x:c r="B60" s="39"/>
      <x:c r="C60" s="31"/>
      <x:c r="D60" s="31"/>
      <x:c r="E60" s="31"/>
      <x:c r="F60" s="31"/>
      <x:c r="G60" s="31"/>
      <x:c r="H60" s="31"/>
      <x:c r="I60" s="31"/>
      <x:c r="J60" s="31"/>
    </x:row>
    <x:row r="61">
      <x:c r="A61" s="31"/>
      <x:c r="B61" s="39"/>
      <x:c r="C61" s="31"/>
      <x:c r="D61" s="31"/>
      <x:c r="E61" s="31"/>
      <x:c r="F61" s="31"/>
      <x:c r="G61" s="31"/>
      <x:c r="H61" s="31"/>
      <x:c r="I61" s="31"/>
      <x:c r="J61" s="31"/>
    </x:row>
    <x:row r="62">
      <x:c r="A62" s="31"/>
      <x:c r="B62" s="39"/>
      <x:c r="C62" s="31"/>
      <x:c r="D62" s="31"/>
      <x:c r="E62" s="31"/>
      <x:c r="F62" s="31"/>
      <x:c r="G62" s="31"/>
      <x:c r="H62" s="31"/>
      <x:c r="I62" s="31"/>
      <x:c r="J62" s="31"/>
    </x:row>
    <x:row r="63">
      <x:c r="A63" s="31"/>
      <x:c r="B63" s="39"/>
      <x:c r="C63" s="31"/>
      <x:c r="D63" s="31"/>
      <x:c r="E63" s="31"/>
      <x:c r="F63" s="31"/>
      <x:c r="G63" s="31"/>
      <x:c r="H63" s="31"/>
      <x:c r="I63" s="31"/>
      <x:c r="J63" s="31"/>
    </x:row>
    <x:row r="64">
      <x:c r="A64" s="31"/>
      <x:c r="B64" s="39"/>
      <x:c r="C64" s="31"/>
      <x:c r="D64" s="31"/>
      <x:c r="E64" s="31"/>
      <x:c r="F64" s="31"/>
      <x:c r="G64" s="31"/>
      <x:c r="H64" s="31"/>
      <x:c r="I64" s="31"/>
      <x:c r="J64" s="31"/>
    </x:row>
    <x:row r="65">
      <x:c r="A65" s="31"/>
      <x:c r="B65" s="39"/>
      <x:c r="C65" s="31"/>
      <x:c r="D65" s="31"/>
      <x:c r="E65" s="31"/>
      <x:c r="F65" s="31"/>
      <x:c r="G65" s="31"/>
      <x:c r="H65" s="31"/>
      <x:c r="I65" s="31"/>
      <x:c r="J65" s="31"/>
    </x:row>
    <x:row r="66">
      <x:c r="A66" s="31"/>
      <x:c r="B66" s="39"/>
      <x:c r="C66" s="31"/>
      <x:c r="D66" s="31"/>
      <x:c r="E66" s="31"/>
      <x:c r="F66" s="31"/>
      <x:c r="G66" s="31"/>
      <x:c r="H66" s="31"/>
      <x:c r="I66" s="31"/>
      <x:c r="J66" s="31"/>
    </x:row>
    <x:row r="67">
      <x:c r="A67" s="31"/>
      <x:c r="B67" s="39"/>
      <x:c r="C67" s="31"/>
      <x:c r="D67" s="31"/>
      <x:c r="E67" s="31"/>
      <x:c r="F67" s="31"/>
      <x:c r="G67" s="31"/>
      <x:c r="H67" s="31"/>
      <x:c r="I67" s="31"/>
      <x:c r="J67" s="31"/>
    </x:row>
    <x:row r="68">
      <x:c r="A68" s="31"/>
      <x:c r="B68" s="39"/>
      <x:c r="C68" s="31"/>
      <x:c r="D68" s="31"/>
      <x:c r="E68" s="31"/>
      <x:c r="F68" s="31"/>
      <x:c r="G68" s="31"/>
      <x:c r="H68" s="31"/>
      <x:c r="I68" s="31"/>
      <x:c r="J68" s="31"/>
    </x:row>
    <x:row r="69">
      <x:c r="A69" s="31"/>
      <x:c r="B69" s="39"/>
      <x:c r="C69" s="31"/>
      <x:c r="D69" s="31"/>
      <x:c r="E69" s="31"/>
      <x:c r="F69" s="31"/>
      <x:c r="G69" s="31"/>
      <x:c r="H69" s="31"/>
      <x:c r="I69" s="31"/>
      <x:c r="J69" s="31"/>
    </x:row>
    <x:row r="70">
      <x:c r="A70" s="31"/>
      <x:c r="B70" s="39"/>
      <x:c r="C70" s="31"/>
      <x:c r="D70" s="31"/>
      <x:c r="E70" s="31"/>
      <x:c r="F70" s="31"/>
      <x:c r="G70" s="31"/>
      <x:c r="H70" s="31"/>
      <x:c r="I70" s="31"/>
      <x:c r="J70" s="31"/>
    </x:row>
    <x:row r="71">
      <x:c r="A71" s="31"/>
      <x:c r="B71" s="39"/>
      <x:c r="C71" s="31"/>
      <x:c r="D71" s="31"/>
      <x:c r="E71" s="31"/>
      <x:c r="F71" s="31"/>
      <x:c r="G71" s="31"/>
      <x:c r="H71" s="31"/>
      <x:c r="I71" s="31"/>
      <x:c r="J71" s="31"/>
    </x:row>
    <x:row r="72">
      <x:c r="A72" s="31"/>
      <x:c r="B72" s="39"/>
      <x:c r="C72" s="31"/>
      <x:c r="D72" s="31"/>
      <x:c r="E72" s="31"/>
      <x:c r="F72" s="31"/>
      <x:c r="G72" s="31"/>
      <x:c r="H72" s="31"/>
      <x:c r="I72" s="31"/>
      <x:c r="J72" s="31"/>
    </x:row>
    <x:row r="73">
      <x:c r="A73" s="31"/>
      <x:c r="B73" s="39"/>
      <x:c r="C73" s="31"/>
      <x:c r="D73" s="31"/>
      <x:c r="E73" s="31"/>
      <x:c r="F73" s="31"/>
      <x:c r="G73" s="31"/>
      <x:c r="H73" s="31"/>
      <x:c r="I73" s="31"/>
      <x:c r="J73" s="31"/>
    </x:row>
    <x:row r="74">
      <x:c r="A74" s="31"/>
      <x:c r="B74" s="39"/>
      <x:c r="C74" s="31"/>
      <x:c r="D74" s="31"/>
      <x:c r="E74" s="31"/>
      <x:c r="F74" s="31"/>
      <x:c r="G74" s="31"/>
      <x:c r="H74" s="31"/>
      <x:c r="I74" s="31"/>
      <x:c r="J74" s="31"/>
    </x:row>
    <x:row r="75">
      <x:c r="A75" s="31"/>
      <x:c r="B75" s="39"/>
      <x:c r="C75" s="31"/>
      <x:c r="D75" s="31"/>
      <x:c r="E75" s="31"/>
      <x:c r="F75" s="31"/>
      <x:c r="G75" s="31"/>
      <x:c r="H75" s="31"/>
      <x:c r="I75" s="31"/>
      <x:c r="J75" s="31"/>
    </x:row>
    <x:row r="76">
      <x:c r="A76" s="31"/>
      <x:c r="B76" s="39"/>
      <x:c r="C76" s="31"/>
      <x:c r="D76" s="31"/>
      <x:c r="E76" s="31"/>
      <x:c r="F76" s="31"/>
      <x:c r="G76" s="31"/>
      <x:c r="H76" s="31"/>
      <x:c r="I76" s="31"/>
      <x:c r="J76" s="31"/>
    </x:row>
    <x:row r="77">
      <x:c r="A77" s="31"/>
      <x:c r="B77" s="39"/>
      <x:c r="C77" s="31"/>
      <x:c r="D77" s="31"/>
      <x:c r="E77" s="31"/>
      <x:c r="F77" s="31"/>
      <x:c r="G77" s="31"/>
      <x:c r="H77" s="31"/>
      <x:c r="I77" s="31"/>
      <x:c r="J77" s="31"/>
    </x:row>
    <x:row r="78">
      <x:c r="A78" s="31"/>
      <x:c r="B78" s="39"/>
      <x:c r="C78" s="31"/>
      <x:c r="D78" s="31"/>
      <x:c r="E78" s="31"/>
      <x:c r="F78" s="31"/>
      <x:c r="G78" s="31"/>
      <x:c r="H78" s="31"/>
      <x:c r="I78" s="31"/>
      <x:c r="J78" s="31"/>
    </x:row>
    <x:row r="79">
      <x:c r="A79" s="31"/>
      <x:c r="B79" s="39"/>
      <x:c r="C79" s="31"/>
      <x:c r="D79" s="31"/>
      <x:c r="E79" s="31"/>
      <x:c r="F79" s="31"/>
      <x:c r="G79" s="31"/>
      <x:c r="H79" s="31"/>
      <x:c r="I79" s="31"/>
      <x:c r="J79" s="31"/>
    </x:row>
    <x:row r="80">
      <x:c r="A80" s="31"/>
      <x:c r="B80" s="39"/>
      <x:c r="C80" s="31"/>
      <x:c r="D80" s="31"/>
      <x:c r="E80" s="31"/>
      <x:c r="F80" s="31"/>
      <x:c r="G80" s="31"/>
      <x:c r="H80" s="31"/>
      <x:c r="I80" s="31"/>
      <x:c r="J80" s="31"/>
    </x:row>
    <x:row r="81">
      <x:c r="A81" s="31"/>
      <x:c r="B81" s="39"/>
      <x:c r="C81" s="31"/>
      <x:c r="D81" s="31"/>
      <x:c r="E81" s="31"/>
      <x:c r="F81" s="31"/>
      <x:c r="G81" s="31"/>
      <x:c r="H81" s="31"/>
      <x:c r="I81" s="31"/>
      <x:c r="J81" s="31"/>
    </x:row>
    <x:row r="82">
      <x:c r="A82" s="31"/>
      <x:c r="B82" s="39"/>
      <x:c r="C82" s="31"/>
      <x:c r="D82" s="31"/>
      <x:c r="E82" s="31"/>
      <x:c r="F82" s="31"/>
      <x:c r="G82" s="31"/>
      <x:c r="H82" s="31"/>
      <x:c r="I82" s="31"/>
      <x:c r="J82" s="31"/>
    </x:row>
    <x:row r="83">
      <x:c r="A83" s="31"/>
      <x:c r="B83" s="39"/>
      <x:c r="C83" s="31"/>
      <x:c r="D83" s="31"/>
      <x:c r="E83" s="31"/>
      <x:c r="F83" s="31"/>
      <x:c r="G83" s="31"/>
      <x:c r="H83" s="31"/>
      <x:c r="I83" s="31"/>
      <x:c r="J83" s="31"/>
    </x:row>
    <x:row r="84">
      <x:c r="A84" s="31"/>
      <x:c r="B84" s="39"/>
      <x:c r="C84" s="31"/>
      <x:c r="D84" s="31"/>
      <x:c r="E84" s="31"/>
      <x:c r="F84" s="31"/>
      <x:c r="G84" s="31"/>
      <x:c r="H84" s="31"/>
      <x:c r="I84" s="31"/>
      <x:c r="J84" s="31"/>
    </x:row>
    <x:row r="85">
      <x:c r="A85" s="31"/>
      <x:c r="B85" s="39"/>
      <x:c r="C85" s="31"/>
      <x:c r="D85" s="31"/>
      <x:c r="E85" s="31"/>
      <x:c r="F85" s="31"/>
      <x:c r="G85" s="31"/>
      <x:c r="H85" s="31"/>
      <x:c r="I85" s="31"/>
      <x:c r="J85" s="31"/>
    </x:row>
    <x:row r="86">
      <x:c r="A86" s="31"/>
      <x:c r="B86" s="39"/>
      <x:c r="C86" s="31"/>
      <x:c r="D86" s="31"/>
      <x:c r="E86" s="31"/>
      <x:c r="F86" s="31"/>
      <x:c r="G86" s="31"/>
      <x:c r="H86" s="31"/>
      <x:c r="I86" s="31"/>
      <x:c r="J86" s="31"/>
    </x:row>
    <x:row r="87">
      <x:c r="A87" s="31"/>
      <x:c r="B87" s="39"/>
      <x:c r="C87" s="31"/>
      <x:c r="D87" s="31"/>
      <x:c r="E87" s="31"/>
      <x:c r="F87" s="31"/>
      <x:c r="G87" s="31"/>
      <x:c r="H87" s="31"/>
      <x:c r="I87" s="31"/>
      <x:c r="J87" s="31"/>
    </x:row>
    <x:row r="88">
      <x:c r="A88" s="31"/>
      <x:c r="B88" s="39"/>
      <x:c r="C88" s="31"/>
      <x:c r="D88" s="31"/>
      <x:c r="E88" s="31"/>
      <x:c r="F88" s="31"/>
      <x:c r="G88" s="31"/>
      <x:c r="H88" s="31"/>
      <x:c r="I88" s="31"/>
      <x:c r="J88" s="31"/>
    </x:row>
    <x:row r="89">
      <x:c r="A89" s="31"/>
      <x:c r="B89" s="39"/>
      <x:c r="C89" s="31"/>
      <x:c r="D89" s="31"/>
      <x:c r="E89" s="31"/>
      <x:c r="F89" s="31"/>
      <x:c r="G89" s="31"/>
      <x:c r="H89" s="31"/>
      <x:c r="I89" s="31"/>
      <x:c r="J89" s="31"/>
    </x:row>
    <x:row r="90">
      <x:c r="A90" s="31"/>
      <x:c r="B90" s="39"/>
      <x:c r="C90" s="31"/>
      <x:c r="D90" s="31"/>
      <x:c r="E90" s="31"/>
      <x:c r="F90" s="31"/>
      <x:c r="G90" s="31"/>
      <x:c r="H90" s="31"/>
      <x:c r="I90" s="31"/>
      <x:c r="J90" s="31"/>
    </x:row>
    <x:row r="91">
      <x:c r="A91" s="31"/>
      <x:c r="B91" s="39"/>
      <x:c r="C91" s="31"/>
      <x:c r="D91" s="31"/>
      <x:c r="E91" s="31"/>
      <x:c r="F91" s="31"/>
      <x:c r="G91" s="31"/>
      <x:c r="H91" s="31"/>
      <x:c r="I91" s="31"/>
      <x:c r="J91" s="31"/>
    </x:row>
    <x:row r="92">
      <x:c r="A92" s="31"/>
      <x:c r="B92" s="39"/>
      <x:c r="C92" s="31"/>
      <x:c r="D92" s="31"/>
      <x:c r="E92" s="31"/>
      <x:c r="F92" s="31"/>
      <x:c r="G92" s="31"/>
      <x:c r="H92" s="31"/>
      <x:c r="I92" s="31"/>
      <x:c r="J92" s="31"/>
    </x:row>
    <x:row r="93">
      <x:c r="A93" s="31"/>
      <x:c r="B93" s="39"/>
      <x:c r="C93" s="31"/>
      <x:c r="D93" s="31"/>
      <x:c r="E93" s="31"/>
      <x:c r="F93" s="31"/>
      <x:c r="G93" s="31"/>
      <x:c r="H93" s="31"/>
      <x:c r="I93" s="31"/>
      <x:c r="J93" s="31"/>
    </x:row>
    <x:row r="94">
      <x:c r="A94" s="31"/>
      <x:c r="B94" s="39"/>
      <x:c r="C94" s="31"/>
      <x:c r="D94" s="31"/>
      <x:c r="E94" s="31"/>
      <x:c r="F94" s="31"/>
      <x:c r="G94" s="31"/>
      <x:c r="H94" s="31"/>
      <x:c r="I94" s="31"/>
      <x:c r="J94" s="31"/>
    </x:row>
    <x:row r="95">
      <x:c r="A95" s="31"/>
      <x:c r="B95" s="39"/>
      <x:c r="C95" s="31"/>
      <x:c r="D95" s="31"/>
      <x:c r="E95" s="31"/>
      <x:c r="F95" s="31"/>
      <x:c r="G95" s="31"/>
      <x:c r="H95" s="31"/>
      <x:c r="I95" s="31"/>
      <x:c r="J95" s="31"/>
    </x:row>
    <x:row r="96">
      <x:c r="A96" s="31"/>
      <x:c r="B96" s="39"/>
      <x:c r="C96" s="31"/>
      <x:c r="D96" s="31"/>
      <x:c r="E96" s="31"/>
      <x:c r="F96" s="31"/>
      <x:c r="G96" s="31"/>
      <x:c r="H96" s="31"/>
      <x:c r="I96" s="31"/>
      <x:c r="J96" s="31"/>
    </x:row>
    <x:row r="97">
      <x:c r="A97" s="31"/>
      <x:c r="B97" s="39"/>
      <x:c r="C97" s="31"/>
      <x:c r="D97" s="31"/>
      <x:c r="E97" s="31"/>
      <x:c r="F97" s="31"/>
      <x:c r="G97" s="31"/>
      <x:c r="H97" s="31"/>
      <x:c r="I97" s="31"/>
      <x:c r="J97" s="31"/>
    </x:row>
    <x:row r="98">
      <x:c r="A98" s="31"/>
      <x:c r="B98" s="39"/>
      <x:c r="C98" s="31"/>
      <x:c r="D98" s="31"/>
      <x:c r="E98" s="31"/>
      <x:c r="F98" s="31"/>
      <x:c r="G98" s="31"/>
      <x:c r="H98" s="31"/>
      <x:c r="I98" s="31"/>
      <x:c r="J98" s="31"/>
    </x:row>
    <x:row r="99">
      <x:c r="A99" s="31"/>
      <x:c r="B99" s="39"/>
      <x:c r="C99" s="31"/>
      <x:c r="D99" s="31"/>
      <x:c r="E99" s="31"/>
      <x:c r="F99" s="31"/>
      <x:c r="G99" s="31"/>
      <x:c r="H99" s="31"/>
      <x:c r="I99" s="31"/>
      <x:c r="J99" s="31"/>
    </x:row>
    <x:row r="100">
      <x:c r="A100" s="31"/>
      <x:c r="B100" s="39"/>
      <x:c r="C100" s="31"/>
      <x:c r="D100" s="31"/>
      <x:c r="E100" s="31"/>
      <x:c r="F100" s="31"/>
      <x:c r="G100" s="31"/>
      <x:c r="H100" s="31"/>
      <x:c r="I100" s="31"/>
      <x:c r="J100" s="31"/>
    </x:row>
    <x:row r="101">
      <x:c r="A101" s="31"/>
      <x:c r="B101" s="39"/>
      <x:c r="C101" s="31"/>
      <x:c r="D101" s="31"/>
      <x:c r="E101" s="31"/>
      <x:c r="F101" s="31"/>
      <x:c r="G101" s="31"/>
      <x:c r="H101" s="31"/>
      <x:c r="I101" s="31"/>
      <x:c r="J101" s="31"/>
    </x:row>
    <x:row r="102">
      <x:c r="A102" s="31"/>
      <x:c r="B102" s="39"/>
      <x:c r="C102" s="31"/>
      <x:c r="D102" s="31"/>
      <x:c r="E102" s="31"/>
      <x:c r="F102" s="31"/>
      <x:c r="G102" s="31"/>
      <x:c r="H102" s="31"/>
      <x:c r="I102" s="31"/>
      <x:c r="J102" s="31"/>
    </x:row>
    <x:row r="103">
      <x:c r="A103" s="31"/>
      <x:c r="B103" s="39"/>
      <x:c r="C103" s="31"/>
      <x:c r="D103" s="31"/>
      <x:c r="E103" s="31"/>
      <x:c r="F103" s="31"/>
      <x:c r="G103" s="31"/>
      <x:c r="H103" s="31"/>
      <x:c r="I103" s="31"/>
      <x:c r="J103" s="31"/>
    </x:row>
    <x:row r="104">
      <x:c r="A104" s="31"/>
      <x:c r="B104" s="39"/>
      <x:c r="C104" s="31"/>
      <x:c r="D104" s="31"/>
      <x:c r="E104" s="31"/>
      <x:c r="F104" s="31"/>
      <x:c r="G104" s="31"/>
      <x:c r="H104" s="31"/>
      <x:c r="I104" s="31"/>
      <x:c r="J104" s="31"/>
    </x:row>
    <x:row r="105">
      <x:c r="A105" s="31"/>
      <x:c r="B105" s="39"/>
      <x:c r="C105" s="31"/>
      <x:c r="D105" s="31"/>
      <x:c r="E105" s="31"/>
      <x:c r="F105" s="31"/>
      <x:c r="G105" s="31"/>
      <x:c r="H105" s="31"/>
      <x:c r="I105" s="31"/>
      <x:c r="J105" s="31"/>
    </x:row>
    <x:row r="106">
      <x:c r="A106" s="31"/>
      <x:c r="B106" s="39"/>
      <x:c r="C106" s="31"/>
      <x:c r="D106" s="31"/>
      <x:c r="E106" s="31"/>
      <x:c r="F106" s="31"/>
      <x:c r="G106" s="31"/>
      <x:c r="H106" s="31"/>
      <x:c r="I106" s="31"/>
      <x:c r="J106" s="31"/>
    </x:row>
    <x:row r="107">
      <x:c r="A107" s="31"/>
      <x:c r="B107" s="39"/>
      <x:c r="C107" s="31"/>
      <x:c r="D107" s="31"/>
      <x:c r="E107" s="31"/>
      <x:c r="F107" s="31"/>
      <x:c r="G107" s="31"/>
      <x:c r="H107" s="31"/>
      <x:c r="I107" s="31"/>
      <x:c r="J107" s="31"/>
    </x:row>
    <x:row r="108">
      <x:c r="A108" s="31"/>
      <x:c r="B108" s="39"/>
      <x:c r="C108" s="31"/>
      <x:c r="D108" s="31"/>
      <x:c r="E108" s="31"/>
      <x:c r="F108" s="31"/>
      <x:c r="G108" s="31"/>
      <x:c r="H108" s="31"/>
      <x:c r="I108" s="31"/>
      <x:c r="J108" s="31"/>
    </x:row>
    <x:row r="109">
      <x:c r="A109" s="31"/>
      <x:c r="B109" s="39"/>
      <x:c r="C109" s="31"/>
      <x:c r="D109" s="31"/>
      <x:c r="E109" s="31"/>
      <x:c r="F109" s="31"/>
      <x:c r="G109" s="31"/>
      <x:c r="H109" s="31"/>
      <x:c r="I109" s="31"/>
      <x:c r="J109" s="31"/>
    </x:row>
    <x:row r="110">
      <x:c r="A110" s="31"/>
      <x:c r="B110" s="39"/>
      <x:c r="C110" s="31"/>
      <x:c r="D110" s="31"/>
      <x:c r="E110" s="31"/>
      <x:c r="F110" s="31"/>
      <x:c r="G110" s="31"/>
      <x:c r="H110" s="31"/>
      <x:c r="I110" s="31"/>
      <x:c r="J110" s="31"/>
    </x:row>
    <x:row r="111">
      <x:c r="A111" s="31"/>
      <x:c r="B111" s="39"/>
      <x:c r="C111" s="31"/>
      <x:c r="D111" s="31"/>
      <x:c r="E111" s="31"/>
      <x:c r="F111" s="31"/>
      <x:c r="G111" s="31"/>
      <x:c r="H111" s="31"/>
      <x:c r="I111" s="31"/>
      <x:c r="J111" s="31"/>
    </x:row>
    <x:row r="112">
      <x:c r="A112" s="31"/>
      <x:c r="B112" s="39"/>
      <x:c r="C112" s="31"/>
      <x:c r="D112" s="31"/>
      <x:c r="E112" s="31"/>
      <x:c r="F112" s="31"/>
      <x:c r="G112" s="31"/>
      <x:c r="H112" s="31"/>
      <x:c r="I112" s="31"/>
      <x:c r="J112" s="31"/>
    </x:row>
    <x:row r="113">
      <x:c r="A113" s="31"/>
      <x:c r="B113" s="39"/>
      <x:c r="C113" s="31"/>
      <x:c r="D113" s="31"/>
      <x:c r="E113" s="31"/>
      <x:c r="F113" s="31"/>
      <x:c r="G113" s="31"/>
      <x:c r="H113" s="31"/>
      <x:c r="I113" s="31"/>
      <x:c r="J113" s="31"/>
    </x:row>
    <x:row r="114">
      <x:c r="A114" s="31"/>
      <x:c r="B114" s="39"/>
      <x:c r="C114" s="31"/>
      <x:c r="D114" s="31"/>
      <x:c r="E114" s="31"/>
      <x:c r="F114" s="31"/>
      <x:c r="G114" s="31"/>
      <x:c r="H114" s="31"/>
      <x:c r="I114" s="31"/>
      <x:c r="J114" s="31"/>
    </x:row>
    <x:row r="115">
      <x:c r="A115" s="31"/>
      <x:c r="B115" s="39"/>
      <x:c r="C115" s="31"/>
      <x:c r="D115" s="31"/>
      <x:c r="E115" s="31"/>
      <x:c r="F115" s="31"/>
      <x:c r="G115" s="31"/>
      <x:c r="H115" s="31"/>
      <x:c r="I115" s="31"/>
      <x:c r="J115" s="31"/>
    </x:row>
    <x:row r="116">
      <x:c r="A116" s="31"/>
      <x:c r="B116" s="39"/>
      <x:c r="C116" s="31"/>
      <x:c r="D116" s="31"/>
      <x:c r="E116" s="31"/>
      <x:c r="F116" s="31"/>
      <x:c r="G116" s="31"/>
      <x:c r="H116" s="31"/>
      <x:c r="I116" s="31"/>
      <x:c r="J116" s="31"/>
    </x:row>
    <x:row r="117">
      <x:c r="A117" s="31"/>
      <x:c r="B117" s="39"/>
      <x:c r="C117" s="31"/>
      <x:c r="D117" s="31"/>
      <x:c r="E117" s="31"/>
      <x:c r="F117" s="31"/>
      <x:c r="G117" s="31"/>
      <x:c r="H117" s="31"/>
      <x:c r="I117" s="31"/>
      <x:c r="J117" s="31"/>
    </x:row>
    <x:row r="118">
      <x:c r="A118" s="31"/>
      <x:c r="B118" s="39"/>
      <x:c r="C118" s="31"/>
      <x:c r="D118" s="31"/>
      <x:c r="E118" s="31"/>
      <x:c r="F118" s="31"/>
      <x:c r="G118" s="31"/>
      <x:c r="H118" s="31"/>
      <x:c r="I118" s="31"/>
      <x:c r="J118" s="31"/>
    </x:row>
    <x:row r="119">
      <x:c r="A119" s="31"/>
      <x:c r="B119" s="39"/>
      <x:c r="C119" s="31"/>
      <x:c r="D119" s="31"/>
      <x:c r="E119" s="31"/>
      <x:c r="F119" s="31"/>
      <x:c r="G119" s="31"/>
      <x:c r="H119" s="31"/>
      <x:c r="I119" s="31"/>
      <x:c r="J119" s="31"/>
    </x:row>
    <x:row r="120">
      <x:c r="A120" s="31"/>
      <x:c r="B120" s="39"/>
      <x:c r="C120" s="31"/>
      <x:c r="D120" s="31"/>
      <x:c r="E120" s="31"/>
      <x:c r="F120" s="31"/>
      <x:c r="G120" s="31"/>
      <x:c r="H120" s="31"/>
      <x:c r="I120" s="31"/>
      <x:c r="J120" s="31"/>
    </x:row>
    <x:row r="121">
      <x:c r="A121" s="31"/>
      <x:c r="B121" s="39"/>
      <x:c r="C121" s="31"/>
      <x:c r="D121" s="31"/>
      <x:c r="E121" s="31"/>
      <x:c r="F121" s="31"/>
      <x:c r="G121" s="31"/>
      <x:c r="H121" s="31"/>
      <x:c r="I121" s="31"/>
      <x:c r="J121" s="31"/>
    </x:row>
    <x:row r="122">
      <x:c r="A122" s="31"/>
      <x:c r="B122" s="39"/>
      <x:c r="C122" s="31"/>
      <x:c r="D122" s="31"/>
      <x:c r="E122" s="31"/>
      <x:c r="F122" s="31"/>
      <x:c r="G122" s="31"/>
      <x:c r="H122" s="31"/>
      <x:c r="I122" s="31"/>
      <x:c r="J122" s="31"/>
    </x:row>
    <x:row r="123">
      <x:c r="A123" s="31"/>
      <x:c r="B123" s="39"/>
      <x:c r="C123" s="31"/>
      <x:c r="D123" s="31"/>
      <x:c r="E123" s="31"/>
      <x:c r="F123" s="31"/>
      <x:c r="G123" s="31"/>
      <x:c r="H123" s="31"/>
      <x:c r="I123" s="31"/>
      <x:c r="J123" s="31"/>
    </x:row>
    <x:row r="124">
      <x:c r="A124" s="31"/>
      <x:c r="B124" s="39"/>
      <x:c r="C124" s="31"/>
      <x:c r="D124" s="31"/>
      <x:c r="E124" s="31"/>
      <x:c r="F124" s="31"/>
      <x:c r="G124" s="31"/>
      <x:c r="H124" s="31"/>
      <x:c r="I124" s="31"/>
      <x:c r="J124" s="31"/>
    </x:row>
    <x:row r="125">
      <x:c r="A125" s="31"/>
      <x:c r="B125" s="39"/>
      <x:c r="C125" s="31"/>
      <x:c r="D125" s="31"/>
      <x:c r="E125" s="31"/>
      <x:c r="F125" s="31"/>
      <x:c r="G125" s="31"/>
      <x:c r="H125" s="31"/>
      <x:c r="I125" s="31"/>
      <x:c r="J125" s="31"/>
    </x:row>
    <x:row r="126">
      <x:c r="A126" s="31"/>
      <x:c r="B126" s="39"/>
      <x:c r="C126" s="31"/>
      <x:c r="D126" s="31"/>
      <x:c r="E126" s="31"/>
      <x:c r="F126" s="31"/>
      <x:c r="G126" s="31"/>
      <x:c r="H126" s="31"/>
      <x:c r="I126" s="31"/>
      <x:c r="J126" s="31"/>
    </x:row>
    <x:row r="127">
      <x:c r="A127" s="31"/>
      <x:c r="B127" s="39"/>
      <x:c r="C127" s="31"/>
      <x:c r="D127" s="31"/>
      <x:c r="E127" s="31"/>
      <x:c r="F127" s="31"/>
      <x:c r="G127" s="31"/>
      <x:c r="H127" s="31"/>
      <x:c r="I127" s="31"/>
      <x:c r="J127" s="31"/>
    </x:row>
    <x:row r="128">
      <x:c r="A128" s="31"/>
      <x:c r="B128" s="39"/>
      <x:c r="C128" s="31"/>
      <x:c r="D128" s="31"/>
      <x:c r="E128" s="31"/>
      <x:c r="F128" s="31"/>
      <x:c r="G128" s="31"/>
      <x:c r="H128" s="31"/>
      <x:c r="I128" s="31"/>
      <x:c r="J128" s="31"/>
    </x:row>
    <x:row r="129">
      <x:c r="A129" s="31"/>
      <x:c r="B129" s="39"/>
      <x:c r="C129" s="31"/>
      <x:c r="D129" s="31"/>
      <x:c r="E129" s="31"/>
      <x:c r="F129" s="31"/>
      <x:c r="G129" s="31"/>
      <x:c r="H129" s="31"/>
      <x:c r="I129" s="31"/>
      <x:c r="J129" s="31"/>
    </x:row>
    <x:row r="130">
      <x:c r="A130" s="31"/>
      <x:c r="B130" s="39"/>
      <x:c r="C130" s="31"/>
      <x:c r="D130" s="31"/>
      <x:c r="E130" s="31"/>
      <x:c r="F130" s="31"/>
      <x:c r="G130" s="31"/>
      <x:c r="H130" s="31"/>
      <x:c r="I130" s="31"/>
      <x:c r="J130" s="31"/>
    </x:row>
    <x:row r="131">
      <x:c r="A131" s="31"/>
      <x:c r="B131" s="39"/>
      <x:c r="C131" s="31"/>
      <x:c r="D131" s="31"/>
      <x:c r="E131" s="31"/>
      <x:c r="F131" s="31"/>
      <x:c r="G131" s="31"/>
      <x:c r="H131" s="31"/>
      <x:c r="I131" s="31"/>
      <x:c r="J131" s="31"/>
    </x:row>
    <x:row r="132">
      <x:c r="A132" s="31"/>
      <x:c r="B132" s="39"/>
      <x:c r="C132" s="31"/>
      <x:c r="D132" s="31"/>
      <x:c r="E132" s="31"/>
      <x:c r="F132" s="31"/>
      <x:c r="G132" s="31"/>
      <x:c r="H132" s="31"/>
      <x:c r="I132" s="31"/>
      <x:c r="J132" s="31"/>
    </x:row>
    <x:row r="133">
      <x:c r="A133" s="31"/>
      <x:c r="B133" s="39"/>
      <x:c r="C133" s="31"/>
      <x:c r="D133" s="31"/>
      <x:c r="E133" s="31"/>
      <x:c r="F133" s="31"/>
      <x:c r="G133" s="31"/>
      <x:c r="H133" s="31"/>
      <x:c r="I133" s="31"/>
      <x:c r="J133" s="31"/>
    </x:row>
    <x:row r="134">
      <x:c r="A134" s="31"/>
      <x:c r="B134" s="39"/>
      <x:c r="C134" s="31"/>
      <x:c r="D134" s="31"/>
      <x:c r="E134" s="31"/>
      <x:c r="F134" s="31"/>
      <x:c r="G134" s="31"/>
      <x:c r="H134" s="31"/>
      <x:c r="I134" s="31"/>
      <x:c r="J134" s="31"/>
    </x:row>
    <x:row r="135">
      <x:c r="A135" s="31"/>
      <x:c r="B135" s="39"/>
      <x:c r="C135" s="31"/>
      <x:c r="D135" s="31"/>
      <x:c r="E135" s="31"/>
      <x:c r="F135" s="31"/>
      <x:c r="G135" s="31"/>
      <x:c r="H135" s="31"/>
      <x:c r="I135" s="31"/>
      <x:c r="J135" s="31"/>
    </x:row>
    <x:row r="136">
      <x:c r="A136" s="31"/>
      <x:c r="B136" s="39"/>
      <x:c r="C136" s="31"/>
      <x:c r="D136" s="31"/>
      <x:c r="E136" s="31"/>
      <x:c r="F136" s="31"/>
      <x:c r="G136" s="31"/>
      <x:c r="H136" s="31"/>
      <x:c r="I136" s="31"/>
      <x:c r="J136" s="31"/>
    </x:row>
    <x:row r="137">
      <x:c r="A137" s="31"/>
      <x:c r="B137" s="39"/>
      <x:c r="C137" s="31"/>
      <x:c r="D137" s="31"/>
      <x:c r="E137" s="31"/>
      <x:c r="F137" s="31"/>
      <x:c r="G137" s="31"/>
      <x:c r="H137" s="31"/>
      <x:c r="I137" s="31"/>
      <x:c r="J137" s="31"/>
    </x:row>
    <x:row r="138">
      <x:c r="A138" s="31"/>
      <x:c r="B138" s="39"/>
      <x:c r="C138" s="31"/>
      <x:c r="D138" s="31"/>
      <x:c r="E138" s="31"/>
      <x:c r="F138" s="31"/>
      <x:c r="G138" s="31"/>
      <x:c r="H138" s="31"/>
      <x:c r="I138" s="31"/>
      <x:c r="J138" s="31"/>
    </x:row>
    <x:row r="139">
      <x:c r="A139" s="31"/>
      <x:c r="B139" s="39"/>
      <x:c r="C139" s="31"/>
      <x:c r="D139" s="31"/>
      <x:c r="E139" s="31"/>
      <x:c r="F139" s="31"/>
      <x:c r="G139" s="31"/>
      <x:c r="H139" s="31"/>
      <x:c r="I139" s="31"/>
      <x:c r="J139" s="31"/>
    </x:row>
    <x:row r="140">
      <x:c r="A140" s="31"/>
      <x:c r="B140" s="39"/>
      <x:c r="C140" s="31"/>
      <x:c r="D140" s="31"/>
      <x:c r="E140" s="31"/>
      <x:c r="F140" s="31"/>
      <x:c r="G140" s="31"/>
      <x:c r="H140" s="31"/>
      <x:c r="I140" s="31"/>
      <x:c r="J140" s="31"/>
    </x:row>
    <x:row r="141">
      <x:c r="A141" s="31"/>
      <x:c r="B141" s="39"/>
      <x:c r="C141" s="31"/>
      <x:c r="D141" s="31"/>
      <x:c r="E141" s="31"/>
      <x:c r="F141" s="31"/>
      <x:c r="G141" s="31"/>
      <x:c r="H141" s="31"/>
      <x:c r="I141" s="31"/>
      <x:c r="J141" s="31"/>
    </x:row>
    <x:row r="142">
      <x:c r="A142" s="31"/>
      <x:c r="B142" s="39"/>
      <x:c r="C142" s="31"/>
      <x:c r="D142" s="31"/>
      <x:c r="E142" s="31"/>
      <x:c r="F142" s="31"/>
      <x:c r="G142" s="31"/>
      <x:c r="H142" s="31"/>
      <x:c r="I142" s="31"/>
      <x:c r="J142" s="31"/>
    </x:row>
    <x:row r="143">
      <x:c r="A143" s="31"/>
      <x:c r="B143" s="39"/>
      <x:c r="C143" s="31"/>
      <x:c r="D143" s="31"/>
      <x:c r="E143" s="31"/>
      <x:c r="F143" s="31"/>
      <x:c r="G143" s="31"/>
      <x:c r="H143" s="31"/>
      <x:c r="I143" s="31"/>
      <x:c r="J143" s="31"/>
    </x:row>
    <x:row r="144">
      <x:c r="A144" s="31"/>
      <x:c r="B144" s="39"/>
      <x:c r="C144" s="31"/>
      <x:c r="D144" s="31"/>
      <x:c r="E144" s="31"/>
      <x:c r="F144" s="31"/>
      <x:c r="G144" s="31"/>
      <x:c r="H144" s="31"/>
      <x:c r="I144" s="31"/>
      <x:c r="J144" s="31"/>
    </x:row>
    <x:row r="145">
      <x:c r="A145" s="31"/>
      <x:c r="B145" s="39"/>
      <x:c r="C145" s="31"/>
      <x:c r="D145" s="31"/>
      <x:c r="E145" s="31"/>
      <x:c r="F145" s="31"/>
      <x:c r="G145" s="31"/>
      <x:c r="H145" s="31"/>
      <x:c r="I145" s="31"/>
      <x:c r="J145" s="31"/>
    </x:row>
    <x:row r="146">
      <x:c r="A146" s="31"/>
      <x:c r="B146" s="39"/>
      <x:c r="C146" s="31"/>
      <x:c r="D146" s="31"/>
      <x:c r="E146" s="31"/>
      <x:c r="F146" s="31"/>
      <x:c r="G146" s="31"/>
      <x:c r="H146" s="31"/>
      <x:c r="I146" s="31"/>
      <x:c r="J146" s="31"/>
    </x:row>
    <x:row r="147">
      <x:c r="A147" s="31"/>
      <x:c r="B147" s="39"/>
      <x:c r="C147" s="31"/>
      <x:c r="D147" s="31"/>
      <x:c r="E147" s="31"/>
      <x:c r="F147" s="31"/>
      <x:c r="G147" s="31"/>
      <x:c r="H147" s="31"/>
      <x:c r="I147" s="31"/>
      <x:c r="J147" s="31"/>
    </x:row>
    <x:row r="148">
      <x:c r="A148" s="31"/>
      <x:c r="B148" s="39"/>
      <x:c r="C148" s="31"/>
      <x:c r="D148" s="31"/>
      <x:c r="E148" s="31"/>
      <x:c r="F148" s="31"/>
      <x:c r="G148" s="31"/>
      <x:c r="H148" s="31"/>
      <x:c r="I148" s="31"/>
      <x:c r="J148" s="31"/>
    </x:row>
    <x:row r="149">
      <x:c r="A149" s="31"/>
      <x:c r="B149" s="39"/>
      <x:c r="C149" s="31"/>
      <x:c r="D149" s="31"/>
      <x:c r="E149" s="31"/>
      <x:c r="F149" s="31"/>
      <x:c r="G149" s="31"/>
      <x:c r="H149" s="31"/>
      <x:c r="I149" s="31"/>
      <x:c r="J149" s="31"/>
    </x:row>
    <x:row r="150">
      <x:c r="A150" s="31"/>
      <x:c r="B150" s="39"/>
      <x:c r="C150" s="31"/>
      <x:c r="D150" s="31"/>
      <x:c r="E150" s="31"/>
      <x:c r="F150" s="31"/>
      <x:c r="G150" s="31"/>
      <x:c r="H150" s="31"/>
      <x:c r="I150" s="31"/>
      <x:c r="J150" s="31"/>
    </x:row>
    <x:row r="151">
      <x:c r="A151" s="31"/>
      <x:c r="B151" s="39"/>
      <x:c r="C151" s="31"/>
      <x:c r="D151" s="31"/>
      <x:c r="E151" s="31"/>
      <x:c r="F151" s="31"/>
      <x:c r="G151" s="31"/>
      <x:c r="H151" s="31"/>
      <x:c r="I151" s="31"/>
      <x:c r="J151" s="31"/>
    </x:row>
    <x:row r="152">
      <x:c r="A152" s="31"/>
      <x:c r="B152" s="39"/>
      <x:c r="C152" s="31"/>
      <x:c r="D152" s="31"/>
      <x:c r="E152" s="31"/>
      <x:c r="F152" s="31"/>
      <x:c r="G152" s="31"/>
      <x:c r="H152" s="31"/>
      <x:c r="I152" s="31"/>
      <x:c r="J152" s="31"/>
    </x:row>
    <x:row r="153">
      <x:c r="A153" s="31"/>
      <x:c r="B153" s="39"/>
      <x:c r="C153" s="31"/>
      <x:c r="D153" s="31"/>
      <x:c r="E153" s="31"/>
      <x:c r="F153" s="31"/>
      <x:c r="G153" s="31"/>
      <x:c r="H153" s="31"/>
      <x:c r="I153" s="31"/>
      <x:c r="J153" s="31"/>
    </x:row>
    <x:row r="154">
      <x:c r="A154" s="31"/>
      <x:c r="B154" s="39"/>
      <x:c r="C154" s="31"/>
      <x:c r="D154" s="31"/>
      <x:c r="E154" s="31"/>
      <x:c r="F154" s="31"/>
      <x:c r="G154" s="31"/>
      <x:c r="H154" s="31"/>
      <x:c r="I154" s="31"/>
      <x:c r="J154" s="31"/>
    </x:row>
    <x:row r="155">
      <x:c r="A155" s="31"/>
      <x:c r="B155" s="39"/>
      <x:c r="C155" s="31"/>
      <x:c r="D155" s="31"/>
      <x:c r="E155" s="31"/>
      <x:c r="F155" s="31"/>
      <x:c r="G155" s="31"/>
      <x:c r="H155" s="31"/>
      <x:c r="I155" s="31"/>
      <x:c r="J155" s="31"/>
    </x:row>
    <x:row r="156">
      <x:c r="A156" s="31"/>
      <x:c r="B156" s="39"/>
      <x:c r="C156" s="31"/>
      <x:c r="D156" s="31"/>
      <x:c r="E156" s="31"/>
      <x:c r="F156" s="31"/>
      <x:c r="G156" s="31"/>
      <x:c r="H156" s="31"/>
      <x:c r="I156" s="31"/>
      <x:c r="J156" s="31"/>
    </x:row>
    <x:row r="157">
      <x:c r="A157" s="31"/>
      <x:c r="B157" s="39"/>
      <x:c r="C157" s="31"/>
      <x:c r="D157" s="31"/>
      <x:c r="E157" s="31"/>
      <x:c r="F157" s="31"/>
      <x:c r="G157" s="31"/>
      <x:c r="H157" s="31"/>
      <x:c r="I157" s="31"/>
      <x:c r="J157" s="31"/>
    </x:row>
    <x:row r="158">
      <x:c r="A158" s="31"/>
      <x:c r="B158" s="39"/>
      <x:c r="C158" s="31"/>
      <x:c r="D158" s="31"/>
      <x:c r="E158" s="31"/>
      <x:c r="F158" s="31"/>
      <x:c r="G158" s="31"/>
      <x:c r="H158" s="31"/>
      <x:c r="I158" s="31"/>
      <x:c r="J158" s="31"/>
    </x:row>
    <x:row r="159">
      <x:c r="A159" s="31"/>
      <x:c r="B159" s="39"/>
      <x:c r="C159" s="31"/>
      <x:c r="D159" s="31"/>
      <x:c r="E159" s="31"/>
      <x:c r="F159" s="31"/>
      <x:c r="G159" s="31"/>
      <x:c r="H159" s="31"/>
      <x:c r="I159" s="31"/>
      <x:c r="J159" s="31"/>
    </x:row>
    <x:row r="160">
      <x:c r="A160" s="31"/>
      <x:c r="B160" s="39"/>
      <x:c r="C160" s="31"/>
      <x:c r="D160" s="31"/>
      <x:c r="E160" s="31"/>
      <x:c r="F160" s="31"/>
      <x:c r="G160" s="31"/>
      <x:c r="H160" s="31"/>
      <x:c r="I160" s="31"/>
      <x:c r="J160" s="31"/>
    </x:row>
    <x:row r="161">
      <x:c r="A161" s="31"/>
      <x:c r="B161" s="39"/>
      <x:c r="C161" s="31"/>
      <x:c r="D161" s="31"/>
      <x:c r="E161" s="31"/>
      <x:c r="F161" s="31"/>
      <x:c r="G161" s="31"/>
      <x:c r="H161" s="31"/>
      <x:c r="I161" s="31"/>
      <x:c r="J161" s="31"/>
    </x:row>
    <x:row r="162">
      <x:c r="A162" s="31"/>
      <x:c r="B162" s="39"/>
      <x:c r="C162" s="31"/>
      <x:c r="D162" s="31"/>
      <x:c r="E162" s="31"/>
      <x:c r="F162" s="31"/>
      <x:c r="G162" s="31"/>
      <x:c r="H162" s="31"/>
      <x:c r="I162" s="31"/>
      <x:c r="J162" s="31"/>
    </x:row>
    <x:row r="163">
      <x:c r="A163" s="31"/>
      <x:c r="B163" s="39"/>
      <x:c r="C163" s="31"/>
      <x:c r="D163" s="31"/>
      <x:c r="E163" s="31"/>
      <x:c r="F163" s="31"/>
      <x:c r="G163" s="31"/>
      <x:c r="H163" s="31"/>
      <x:c r="I163" s="31"/>
      <x:c r="J163" s="31"/>
    </x:row>
    <x:row r="164">
      <x:c r="A164" s="31"/>
      <x:c r="B164" s="39"/>
      <x:c r="C164" s="31"/>
      <x:c r="D164" s="31"/>
      <x:c r="E164" s="31"/>
      <x:c r="F164" s="31"/>
      <x:c r="G164" s="31"/>
      <x:c r="H164" s="31"/>
      <x:c r="I164" s="31"/>
      <x:c r="J164" s="31"/>
    </x:row>
    <x:row r="165">
      <x:c r="A165" s="31"/>
      <x:c r="B165" s="39"/>
      <x:c r="C165" s="31"/>
      <x:c r="D165" s="31"/>
      <x:c r="E165" s="31"/>
      <x:c r="F165" s="31"/>
      <x:c r="G165" s="31"/>
      <x:c r="H165" s="31"/>
      <x:c r="I165" s="31"/>
      <x:c r="J165" s="31"/>
    </x:row>
    <x:row r="166">
      <x:c r="A166" s="31"/>
      <x:c r="B166" s="39"/>
      <x:c r="C166" s="31"/>
      <x:c r="D166" s="31"/>
      <x:c r="E166" s="31"/>
      <x:c r="F166" s="31"/>
      <x:c r="G166" s="31"/>
      <x:c r="H166" s="31"/>
      <x:c r="I166" s="31"/>
      <x:c r="J166" s="31"/>
    </x:row>
    <x:row r="167">
      <x:c r="A167" s="31"/>
      <x:c r="B167" s="39"/>
      <x:c r="C167" s="31"/>
      <x:c r="D167" s="31"/>
      <x:c r="E167" s="31"/>
      <x:c r="F167" s="31"/>
      <x:c r="G167" s="31"/>
      <x:c r="H167" s="31"/>
      <x:c r="I167" s="31"/>
      <x:c r="J167" s="31"/>
    </x:row>
    <x:row r="168">
      <x:c r="A168" s="31"/>
      <x:c r="B168" s="39"/>
      <x:c r="C168" s="31"/>
      <x:c r="D168" s="31"/>
      <x:c r="E168" s="31"/>
      <x:c r="F168" s="31"/>
      <x:c r="G168" s="31"/>
      <x:c r="H168" s="31"/>
      <x:c r="I168" s="31"/>
      <x:c r="J168" s="31"/>
    </x:row>
    <x:row r="169">
      <x:c r="A169" s="31"/>
      <x:c r="B169" s="39"/>
      <x:c r="C169" s="31"/>
      <x:c r="D169" s="31"/>
      <x:c r="E169" s="31"/>
      <x:c r="F169" s="31"/>
      <x:c r="G169" s="31"/>
      <x:c r="H169" s="31"/>
      <x:c r="I169" s="31"/>
      <x:c r="J169" s="31"/>
    </x:row>
    <x:row r="170">
      <x:c r="A170" s="31"/>
      <x:c r="B170" s="39"/>
      <x:c r="C170" s="31"/>
      <x:c r="D170" s="31"/>
      <x:c r="E170" s="31"/>
      <x:c r="F170" s="31"/>
      <x:c r="G170" s="31"/>
      <x:c r="H170" s="31"/>
      <x:c r="I170" s="31"/>
      <x:c r="J170" s="31"/>
    </x:row>
    <x:row r="171">
      <x:c r="A171" s="31"/>
      <x:c r="B171" s="39"/>
      <x:c r="C171" s="31"/>
      <x:c r="D171" s="31"/>
      <x:c r="E171" s="31"/>
      <x:c r="F171" s="31"/>
      <x:c r="G171" s="31"/>
      <x:c r="H171" s="31"/>
      <x:c r="I171" s="31"/>
      <x:c r="J171" s="31"/>
    </x:row>
    <x:row r="172">
      <x:c r="A172" s="31"/>
      <x:c r="B172" s="39"/>
      <x:c r="C172" s="31"/>
      <x:c r="D172" s="31"/>
      <x:c r="E172" s="31"/>
      <x:c r="F172" s="31"/>
      <x:c r="G172" s="31"/>
      <x:c r="H172" s="31"/>
      <x:c r="I172" s="31"/>
      <x:c r="J172" s="31"/>
    </x:row>
    <x:row r="173">
      <x:c r="A173" s="31"/>
      <x:c r="B173" s="39"/>
      <x:c r="C173" s="31"/>
      <x:c r="D173" s="31"/>
      <x:c r="E173" s="31"/>
      <x:c r="F173" s="31"/>
      <x:c r="G173" s="31"/>
      <x:c r="H173" s="31"/>
      <x:c r="I173" s="31"/>
      <x:c r="J173" s="31"/>
    </x:row>
    <x:row r="174">
      <x:c r="A174" s="31"/>
      <x:c r="B174" s="39"/>
      <x:c r="C174" s="31"/>
      <x:c r="D174" s="31"/>
      <x:c r="E174" s="31"/>
      <x:c r="F174" s="31"/>
      <x:c r="G174" s="31"/>
      <x:c r="H174" s="31"/>
      <x:c r="I174" s="31"/>
      <x:c r="J174" s="31"/>
    </x:row>
    <x:row r="175">
      <x:c r="A175" s="31"/>
      <x:c r="B175" s="39"/>
      <x:c r="C175" s="31"/>
      <x:c r="D175" s="31"/>
      <x:c r="E175" s="31"/>
      <x:c r="F175" s="31"/>
      <x:c r="G175" s="31"/>
      <x:c r="H175" s="31"/>
      <x:c r="I175" s="31"/>
      <x:c r="J175" s="31"/>
    </x:row>
    <x:row r="176">
      <x:c r="A176" s="31"/>
      <x:c r="B176" s="39"/>
      <x:c r="C176" s="31"/>
      <x:c r="D176" s="31"/>
      <x:c r="E176" s="31"/>
      <x:c r="F176" s="31"/>
      <x:c r="G176" s="31"/>
      <x:c r="H176" s="31"/>
      <x:c r="I176" s="31"/>
      <x:c r="J176" s="31"/>
    </x:row>
    <x:row r="177">
      <x:c r="A177" s="31"/>
      <x:c r="B177" s="39"/>
      <x:c r="C177" s="31"/>
      <x:c r="D177" s="31"/>
      <x:c r="E177" s="31"/>
      <x:c r="F177" s="31"/>
      <x:c r="G177" s="31"/>
      <x:c r="H177" s="31"/>
      <x:c r="I177" s="31"/>
      <x:c r="J177" s="31"/>
    </x:row>
    <x:row r="178">
      <x:c r="A178" s="31"/>
      <x:c r="B178" s="39"/>
      <x:c r="C178" s="31"/>
      <x:c r="D178" s="31"/>
      <x:c r="E178" s="31"/>
      <x:c r="F178" s="31"/>
      <x:c r="G178" s="31"/>
      <x:c r="H178" s="31"/>
      <x:c r="I178" s="31"/>
      <x:c r="J178" s="31"/>
    </x:row>
    <x:row r="179">
      <x:c r="A179" s="31"/>
      <x:c r="B179" s="39"/>
      <x:c r="C179" s="31"/>
      <x:c r="D179" s="31"/>
      <x:c r="E179" s="31"/>
      <x:c r="F179" s="31"/>
      <x:c r="G179" s="31"/>
      <x:c r="H179" s="31"/>
      <x:c r="I179" s="31"/>
      <x:c r="J179" s="31"/>
    </x:row>
    <x:row r="180">
      <x:c r="A180" s="31"/>
      <x:c r="B180" s="39"/>
      <x:c r="C180" s="31"/>
      <x:c r="D180" s="31"/>
      <x:c r="E180" s="31"/>
      <x:c r="F180" s="31"/>
      <x:c r="G180" s="31"/>
      <x:c r="H180" s="31"/>
      <x:c r="I180" s="31"/>
      <x:c r="J180" s="31"/>
    </x:row>
    <x:row r="181">
      <x:c r="A181" s="31"/>
      <x:c r="B181" s="39"/>
      <x:c r="C181" s="31"/>
      <x:c r="D181" s="31"/>
      <x:c r="E181" s="31"/>
      <x:c r="F181" s="31"/>
      <x:c r="G181" s="31"/>
      <x:c r="H181" s="31"/>
      <x:c r="I181" s="31"/>
      <x:c r="J181" s="31"/>
    </x:row>
    <x:row r="182">
      <x:c r="A182" s="31"/>
      <x:c r="B182" s="39"/>
      <x:c r="C182" s="31"/>
      <x:c r="D182" s="31"/>
      <x:c r="E182" s="31"/>
      <x:c r="F182" s="31"/>
      <x:c r="G182" s="31"/>
      <x:c r="H182" s="31"/>
      <x:c r="I182" s="31"/>
      <x:c r="J182" s="31"/>
    </x:row>
    <x:row r="183">
      <x:c r="A183" s="31"/>
      <x:c r="B183" s="39"/>
      <x:c r="C183" s="31"/>
      <x:c r="D183" s="31"/>
      <x:c r="E183" s="31"/>
      <x:c r="F183" s="31"/>
      <x:c r="G183" s="31"/>
      <x:c r="H183" s="31"/>
      <x:c r="I183" s="31"/>
      <x:c r="J183" s="31"/>
    </x:row>
    <x:row r="184">
      <x:c r="A184" s="31"/>
      <x:c r="B184" s="39"/>
      <x:c r="C184" s="31"/>
      <x:c r="D184" s="31"/>
      <x:c r="E184" s="31"/>
      <x:c r="F184" s="31"/>
      <x:c r="G184" s="31"/>
      <x:c r="H184" s="31"/>
      <x:c r="I184" s="31"/>
      <x:c r="J184" s="31"/>
    </x:row>
    <x:row r="185">
      <x:c r="A185" s="31"/>
      <x:c r="B185" s="39"/>
      <x:c r="C185" s="31"/>
      <x:c r="D185" s="31"/>
      <x:c r="E185" s="31"/>
      <x:c r="F185" s="31"/>
      <x:c r="G185" s="31"/>
      <x:c r="H185" s="31"/>
      <x:c r="I185" s="31"/>
      <x:c r="J185" s="31"/>
    </x:row>
    <x:row r="186">
      <x:c r="A186" s="31"/>
      <x:c r="B186" s="39"/>
      <x:c r="C186" s="31"/>
      <x:c r="D186" s="31"/>
      <x:c r="E186" s="31"/>
      <x:c r="F186" s="31"/>
      <x:c r="G186" s="31"/>
      <x:c r="H186" s="31"/>
      <x:c r="I186" s="31"/>
      <x:c r="J186" s="31"/>
    </x:row>
    <x:row r="187">
      <x:c r="A187" s="31"/>
      <x:c r="B187" s="39"/>
      <x:c r="C187" s="31"/>
      <x:c r="D187" s="31"/>
      <x:c r="E187" s="31"/>
      <x:c r="F187" s="31"/>
      <x:c r="G187" s="31"/>
      <x:c r="H187" s="31"/>
      <x:c r="I187" s="31"/>
      <x:c r="J187" s="31"/>
    </x:row>
    <x:row r="188">
      <x:c r="A188" s="31"/>
      <x:c r="B188" s="39"/>
      <x:c r="C188" s="31"/>
      <x:c r="D188" s="31"/>
      <x:c r="E188" s="31"/>
      <x:c r="F188" s="31"/>
      <x:c r="G188" s="31"/>
      <x:c r="H188" s="31"/>
      <x:c r="I188" s="31"/>
      <x:c r="J188" s="31"/>
    </x:row>
    <x:row r="189">
      <x:c r="A189" s="31"/>
      <x:c r="B189" s="39"/>
      <x:c r="C189" s="31"/>
      <x:c r="D189" s="31"/>
      <x:c r="E189" s="31"/>
      <x:c r="F189" s="31"/>
      <x:c r="G189" s="31"/>
      <x:c r="H189" s="31"/>
      <x:c r="I189" s="31"/>
      <x:c r="J189" s="31"/>
    </x:row>
    <x:row r="190">
      <x:c r="A190" s="31"/>
      <x:c r="B190" s="39"/>
      <x:c r="C190" s="31"/>
      <x:c r="D190" s="31"/>
      <x:c r="E190" s="31"/>
      <x:c r="F190" s="31"/>
      <x:c r="G190" s="31"/>
      <x:c r="H190" s="31"/>
      <x:c r="I190" s="31"/>
      <x:c r="J190" s="31"/>
    </x:row>
    <x:row r="191">
      <x:c r="A191" s="31"/>
      <x:c r="B191" s="39"/>
      <x:c r="C191" s="31"/>
      <x:c r="D191" s="31"/>
      <x:c r="E191" s="31"/>
      <x:c r="F191" s="31"/>
      <x:c r="G191" s="31"/>
      <x:c r="H191" s="31"/>
      <x:c r="I191" s="31"/>
      <x:c r="J191" s="31"/>
    </x:row>
    <x:row r="192">
      <x:c r="A192" s="31"/>
      <x:c r="B192" s="39"/>
      <x:c r="C192" s="31"/>
      <x:c r="D192" s="31"/>
      <x:c r="E192" s="31"/>
      <x:c r="F192" s="31"/>
      <x:c r="G192" s="31"/>
      <x:c r="H192" s="31"/>
      <x:c r="I192" s="31"/>
      <x:c r="J192" s="31"/>
    </x:row>
    <x:row r="193">
      <x:c r="A193" s="31"/>
      <x:c r="B193" s="39"/>
      <x:c r="C193" s="31"/>
      <x:c r="D193" s="31"/>
      <x:c r="E193" s="31"/>
      <x:c r="F193" s="31"/>
      <x:c r="G193" s="31"/>
      <x:c r="H193" s="31"/>
      <x:c r="I193" s="31"/>
      <x:c r="J193" s="31"/>
    </x:row>
    <x:row r="194">
      <x:c r="A194" s="31"/>
      <x:c r="B194" s="39"/>
      <x:c r="C194" s="31"/>
      <x:c r="D194" s="31"/>
      <x:c r="E194" s="31"/>
      <x:c r="F194" s="31"/>
      <x:c r="G194" s="31"/>
      <x:c r="H194" s="31"/>
      <x:c r="I194" s="31"/>
      <x:c r="J194" s="31"/>
    </x:row>
    <x:row r="195">
      <x:c r="A195" s="31"/>
      <x:c r="B195" s="39"/>
      <x:c r="C195" s="31"/>
      <x:c r="D195" s="31"/>
      <x:c r="E195" s="31"/>
      <x:c r="F195" s="31"/>
      <x:c r="G195" s="31"/>
      <x:c r="H195" s="31"/>
      <x:c r="I195" s="31"/>
      <x:c r="J195" s="31"/>
    </x:row>
    <x:row r="196">
      <x:c r="A196" s="31"/>
      <x:c r="B196" s="39"/>
      <x:c r="C196" s="31"/>
      <x:c r="D196" s="31"/>
      <x:c r="E196" s="31"/>
      <x:c r="F196" s="31"/>
      <x:c r="G196" s="31"/>
      <x:c r="H196" s="31"/>
      <x:c r="I196" s="31"/>
      <x:c r="J196" s="31"/>
    </x:row>
    <x:row r="197">
      <x:c r="A197" s="31"/>
      <x:c r="B197" s="39"/>
      <x:c r="C197" s="31"/>
      <x:c r="D197" s="31"/>
      <x:c r="E197" s="31"/>
      <x:c r="F197" s="31"/>
      <x:c r="G197" s="31"/>
      <x:c r="H197" s="31"/>
      <x:c r="I197" s="31"/>
      <x:c r="J197" s="31"/>
    </x:row>
    <x:row r="198">
      <x:c r="A198" s="31"/>
      <x:c r="B198" s="39"/>
      <x:c r="C198" s="31"/>
      <x:c r="D198" s="31"/>
      <x:c r="E198" s="31"/>
      <x:c r="F198" s="31"/>
      <x:c r="G198" s="31"/>
      <x:c r="H198" s="31"/>
      <x:c r="I198" s="31"/>
      <x:c r="J198" s="31"/>
    </x:row>
    <x:row r="199">
      <x:c r="A199" s="31"/>
      <x:c r="B199" s="39"/>
      <x:c r="C199" s="31"/>
      <x:c r="D199" s="31"/>
      <x:c r="E199" s="31"/>
      <x:c r="F199" s="31"/>
      <x:c r="G199" s="31"/>
      <x:c r="H199" s="31"/>
      <x:c r="I199" s="31"/>
      <x:c r="J199" s="31"/>
    </x:row>
    <x:row r="200">
      <x:c r="A200" s="31"/>
      <x:c r="B200" s="39"/>
      <x:c r="C200" s="31"/>
      <x:c r="D200" s="31"/>
      <x:c r="E200" s="31"/>
      <x:c r="F200" s="31"/>
      <x:c r="G200" s="31"/>
      <x:c r="H200" s="31"/>
      <x:c r="I200" s="31"/>
      <x:c r="J200" s="31"/>
    </x:row>
    <x:row r="201">
      <x:c r="A201" s="31"/>
      <x:c r="B201" s="39"/>
      <x:c r="C201" s="31"/>
      <x:c r="D201" s="31"/>
      <x:c r="E201" s="31"/>
      <x:c r="F201" s="31"/>
      <x:c r="G201" s="31"/>
      <x:c r="H201" s="31"/>
      <x:c r="I201" s="31"/>
      <x:c r="J201" s="31"/>
    </x:row>
    <x:row r="202">
      <x:c r="A202" s="31"/>
      <x:c r="B202" s="39"/>
      <x:c r="C202" s="31"/>
      <x:c r="D202" s="31"/>
      <x:c r="E202" s="31"/>
      <x:c r="F202" s="31"/>
      <x:c r="G202" s="31"/>
      <x:c r="H202" s="31"/>
      <x:c r="I202" s="31"/>
      <x:c r="J202" s="31"/>
    </x:row>
    <x:row r="203">
      <x:c r="A203" s="31"/>
      <x:c r="B203" s="39"/>
      <x:c r="C203" s="31"/>
      <x:c r="D203" s="31"/>
      <x:c r="E203" s="31"/>
      <x:c r="F203" s="31"/>
      <x:c r="G203" s="31"/>
      <x:c r="H203" s="31"/>
      <x:c r="I203" s="31"/>
      <x:c r="J203" s="31"/>
    </x:row>
    <x:row r="204">
      <x:c r="A204" s="31"/>
      <x:c r="B204" s="39"/>
      <x:c r="C204" s="31"/>
      <x:c r="D204" s="31"/>
      <x:c r="E204" s="31"/>
      <x:c r="F204" s="31"/>
      <x:c r="G204" s="31"/>
      <x:c r="H204" s="31"/>
      <x:c r="I204" s="31"/>
      <x:c r="J204" s="31"/>
    </x:row>
    <x:row r="205">
      <x:c r="A205" s="31"/>
      <x:c r="B205" s="39"/>
      <x:c r="C205" s="31"/>
      <x:c r="D205" s="31"/>
      <x:c r="E205" s="31"/>
      <x:c r="F205" s="31"/>
      <x:c r="G205" s="31"/>
      <x:c r="H205" s="31"/>
      <x:c r="I205" s="31"/>
      <x:c r="J205" s="31"/>
    </x:row>
    <x:row r="206">
      <x:c r="A206" s="31"/>
      <x:c r="B206" s="39"/>
      <x:c r="C206" s="31"/>
      <x:c r="D206" s="31"/>
      <x:c r="E206" s="31"/>
      <x:c r="F206" s="31"/>
      <x:c r="G206" s="31"/>
      <x:c r="H206" s="31"/>
      <x:c r="I206" s="31"/>
      <x:c r="J206" s="31"/>
    </x:row>
    <x:row r="207">
      <x:c r="A207" s="31"/>
      <x:c r="B207" s="39"/>
      <x:c r="C207" s="31"/>
      <x:c r="D207" s="31"/>
      <x:c r="E207" s="31"/>
      <x:c r="F207" s="31"/>
      <x:c r="G207" s="31"/>
      <x:c r="H207" s="31"/>
      <x:c r="I207" s="31"/>
      <x:c r="J207" s="31"/>
    </x:row>
    <x:row r="208">
      <x:c r="A208" s="31"/>
      <x:c r="B208" s="39"/>
      <x:c r="C208" s="31"/>
      <x:c r="D208" s="31"/>
      <x:c r="E208" s="31"/>
      <x:c r="F208" s="31"/>
      <x:c r="G208" s="31"/>
      <x:c r="H208" s="31"/>
      <x:c r="I208" s="31"/>
      <x:c r="J208" s="31"/>
    </x:row>
    <x:row r="209">
      <x:c r="A209" s="31"/>
      <x:c r="B209" s="39"/>
      <x:c r="C209" s="31"/>
      <x:c r="D209" s="31"/>
      <x:c r="E209" s="31"/>
      <x:c r="F209" s="31"/>
      <x:c r="G209" s="31"/>
      <x:c r="H209" s="31"/>
      <x:c r="I209" s="31"/>
      <x:c r="J209" s="31"/>
    </x:row>
    <x:row r="210">
      <x:c r="A210" s="31"/>
      <x:c r="B210" s="39"/>
      <x:c r="C210" s="31"/>
      <x:c r="D210" s="31"/>
      <x:c r="E210" s="31"/>
      <x:c r="F210" s="31"/>
      <x:c r="G210" s="31"/>
      <x:c r="H210" s="31"/>
      <x:c r="I210" s="31"/>
      <x:c r="J210" s="31"/>
    </x:row>
    <x:row r="211">
      <x:c r="A211" s="31"/>
      <x:c r="B211" s="39"/>
      <x:c r="C211" s="31"/>
      <x:c r="D211" s="31"/>
      <x:c r="E211" s="31"/>
      <x:c r="F211" s="31"/>
      <x:c r="G211" s="31"/>
      <x:c r="H211" s="31"/>
      <x:c r="I211" s="31"/>
      <x:c r="J211" s="31"/>
    </x:row>
    <x:row r="212">
      <x:c r="A212" s="31"/>
      <x:c r="B212" s="39"/>
      <x:c r="C212" s="31"/>
      <x:c r="D212" s="31"/>
      <x:c r="E212" s="31"/>
      <x:c r="F212" s="31"/>
      <x:c r="G212" s="31"/>
      <x:c r="H212" s="31"/>
      <x:c r="I212" s="31"/>
      <x:c r="J212" s="31"/>
    </x:row>
    <x:row r="213">
      <x:c r="A213" s="31"/>
      <x:c r="B213" s="39"/>
      <x:c r="C213" s="31"/>
      <x:c r="D213" s="31"/>
      <x:c r="E213" s="31"/>
      <x:c r="F213" s="31"/>
      <x:c r="G213" s="31"/>
      <x:c r="H213" s="31"/>
      <x:c r="I213" s="31"/>
      <x:c r="J213" s="31"/>
    </x:row>
    <x:row r="214">
      <x:c r="A214" s="31"/>
      <x:c r="B214" s="39"/>
      <x:c r="C214" s="31"/>
      <x:c r="D214" s="31"/>
      <x:c r="E214" s="31"/>
      <x:c r="F214" s="31"/>
      <x:c r="G214" s="31"/>
      <x:c r="H214" s="31"/>
      <x:c r="I214" s="31"/>
      <x:c r="J214" s="31"/>
    </x:row>
    <x:row r="215">
      <x:c r="A215" s="31"/>
      <x:c r="B215" s="39"/>
      <x:c r="C215" s="31"/>
      <x:c r="D215" s="31"/>
      <x:c r="E215" s="31"/>
      <x:c r="F215" s="31"/>
      <x:c r="G215" s="31"/>
      <x:c r="H215" s="31"/>
      <x:c r="I215" s="31"/>
      <x:c r="J215" s="31"/>
    </x:row>
    <x:row r="216">
      <x:c r="A216" s="31"/>
      <x:c r="B216" s="39"/>
      <x:c r="C216" s="31"/>
      <x:c r="D216" s="31"/>
      <x:c r="E216" s="31"/>
      <x:c r="F216" s="31"/>
      <x:c r="G216" s="31"/>
      <x:c r="H216" s="31"/>
      <x:c r="I216" s="31"/>
      <x:c r="J216" s="31"/>
    </x:row>
    <x:row r="217">
      <x:c r="A217" s="31"/>
      <x:c r="B217" s="39"/>
      <x:c r="C217" s="31"/>
      <x:c r="D217" s="31"/>
      <x:c r="E217" s="31"/>
      <x:c r="F217" s="31"/>
      <x:c r="G217" s="31"/>
      <x:c r="H217" s="31"/>
      <x:c r="I217" s="31"/>
      <x:c r="J217" s="31"/>
    </x:row>
    <x:row r="218">
      <x:c r="A218" s="31"/>
      <x:c r="B218" s="39"/>
      <x:c r="C218" s="31"/>
      <x:c r="D218" s="31"/>
      <x:c r="E218" s="31"/>
      <x:c r="F218" s="31"/>
      <x:c r="G218" s="31"/>
      <x:c r="H218" s="31"/>
      <x:c r="I218" s="31"/>
      <x:c r="J218" s="31"/>
    </x:row>
    <x:row r="219">
      <x:c r="A219" s="31"/>
      <x:c r="B219" s="39"/>
      <x:c r="C219" s="31"/>
      <x:c r="D219" s="31"/>
      <x:c r="E219" s="31"/>
      <x:c r="F219" s="31"/>
      <x:c r="G219" s="31"/>
      <x:c r="H219" s="31"/>
      <x:c r="I219" s="31"/>
      <x:c r="J219" s="31"/>
    </x:row>
    <x:row r="220">
      <x:c r="A220" s="31"/>
      <x:c r="B220" s="39"/>
      <x:c r="C220" s="31"/>
      <x:c r="D220" s="31"/>
      <x:c r="E220" s="31"/>
      <x:c r="F220" s="31"/>
      <x:c r="G220" s="31"/>
      <x:c r="H220" s="31"/>
      <x:c r="I220" s="31"/>
      <x:c r="J220" s="31"/>
    </x:row>
    <x:row r="221">
      <x:c r="A221" s="31"/>
      <x:c r="B221" s="39"/>
      <x:c r="C221" s="31"/>
      <x:c r="D221" s="31"/>
      <x:c r="E221" s="31"/>
      <x:c r="F221" s="31"/>
      <x:c r="G221" s="31"/>
      <x:c r="H221" s="31"/>
      <x:c r="I221" s="31"/>
      <x:c r="J221" s="31"/>
    </x:row>
    <x:row r="222">
      <x:c r="A222" s="31"/>
      <x:c r="B222" s="39"/>
      <x:c r="C222" s="31"/>
      <x:c r="D222" s="31"/>
      <x:c r="E222" s="31"/>
      <x:c r="F222" s="31"/>
      <x:c r="G222" s="31"/>
      <x:c r="H222" s="31"/>
      <x:c r="I222" s="31"/>
      <x:c r="J222" s="31"/>
    </x:row>
    <x:row r="223">
      <x:c r="A223" s="31"/>
      <x:c r="B223" s="39"/>
      <x:c r="C223" s="31"/>
      <x:c r="D223" s="31"/>
      <x:c r="E223" s="31"/>
      <x:c r="F223" s="31"/>
      <x:c r="G223" s="31"/>
      <x:c r="H223" s="31"/>
      <x:c r="I223" s="31"/>
      <x:c r="J223" s="31"/>
    </x:row>
    <x:row r="224">
      <x:c r="A224" s="31"/>
      <x:c r="B224" s="39"/>
      <x:c r="C224" s="31"/>
      <x:c r="D224" s="31"/>
      <x:c r="E224" s="31"/>
      <x:c r="F224" s="31"/>
      <x:c r="G224" s="31"/>
      <x:c r="H224" s="31"/>
      <x:c r="I224" s="31"/>
      <x:c r="J224" s="31"/>
    </x:row>
    <x:row r="225">
      <x:c r="A225" s="31"/>
      <x:c r="B225" s="39"/>
      <x:c r="C225" s="31"/>
      <x:c r="D225" s="31"/>
      <x:c r="E225" s="31"/>
      <x:c r="F225" s="31"/>
      <x:c r="G225" s="31"/>
      <x:c r="H225" s="31"/>
      <x:c r="I225" s="31"/>
      <x:c r="J225" s="31"/>
    </x:row>
    <x:row r="226">
      <x:c r="A226" s="31"/>
      <x:c r="B226" s="39"/>
      <x:c r="C226" s="31"/>
      <x:c r="D226" s="31"/>
      <x:c r="E226" s="31"/>
      <x:c r="F226" s="31"/>
      <x:c r="G226" s="31"/>
      <x:c r="H226" s="31"/>
      <x:c r="I226" s="31"/>
      <x:c r="J226" s="31"/>
    </x:row>
    <x:row r="227">
      <x:c r="A227" s="31"/>
      <x:c r="B227" s="39"/>
      <x:c r="C227" s="31"/>
      <x:c r="D227" s="31"/>
      <x:c r="E227" s="31"/>
      <x:c r="F227" s="31"/>
      <x:c r="G227" s="31"/>
      <x:c r="H227" s="31"/>
      <x:c r="I227" s="31"/>
      <x:c r="J227" s="31"/>
    </x:row>
    <x:row r="228">
      <x:c r="A228" s="31"/>
      <x:c r="B228" s="39"/>
      <x:c r="C228" s="31"/>
      <x:c r="D228" s="31"/>
      <x:c r="E228" s="31"/>
      <x:c r="F228" s="31"/>
      <x:c r="G228" s="31"/>
      <x:c r="H228" s="31"/>
      <x:c r="I228" s="31"/>
      <x:c r="J228" s="31"/>
    </x:row>
    <x:row r="229">
      <x:c r="A229" s="31"/>
      <x:c r="B229" s="39"/>
      <x:c r="C229" s="31"/>
      <x:c r="D229" s="31"/>
      <x:c r="E229" s="31"/>
      <x:c r="F229" s="31"/>
      <x:c r="G229" s="31"/>
      <x:c r="H229" s="31"/>
      <x:c r="I229" s="31"/>
      <x:c r="J229" s="31"/>
    </x:row>
    <x:row r="230">
      <x:c r="A230" s="31"/>
      <x:c r="B230" s="39"/>
      <x:c r="C230" s="31"/>
      <x:c r="D230" s="31"/>
      <x:c r="E230" s="31"/>
      <x:c r="F230" s="31"/>
      <x:c r="G230" s="31"/>
      <x:c r="H230" s="31"/>
      <x:c r="I230" s="31"/>
      <x:c r="J230" s="31"/>
    </x:row>
    <x:row r="231">
      <x:c r="A231" s="31"/>
      <x:c r="B231" s="39"/>
      <x:c r="C231" s="31"/>
      <x:c r="D231" s="31"/>
      <x:c r="E231" s="31"/>
      <x:c r="F231" s="31"/>
      <x:c r="G231" s="31"/>
      <x:c r="H231" s="31"/>
      <x:c r="I231" s="31"/>
      <x:c r="J231" s="31"/>
    </x:row>
    <x:row r="232">
      <x:c r="A232" s="31"/>
      <x:c r="B232" s="39"/>
      <x:c r="C232" s="31"/>
      <x:c r="D232" s="31"/>
      <x:c r="E232" s="31"/>
      <x:c r="F232" s="31"/>
      <x:c r="G232" s="31"/>
      <x:c r="H232" s="31"/>
      <x:c r="I232" s="31"/>
      <x:c r="J232" s="31"/>
    </x:row>
    <x:row r="233">
      <x:c r="A233" s="31"/>
      <x:c r="B233" s="39"/>
      <x:c r="C233" s="31"/>
      <x:c r="D233" s="31"/>
      <x:c r="E233" s="31"/>
      <x:c r="F233" s="31"/>
      <x:c r="G233" s="31"/>
      <x:c r="H233" s="31"/>
      <x:c r="I233" s="31"/>
      <x:c r="J233" s="31"/>
    </x:row>
    <x:row r="234">
      <x:c r="A234" s="31"/>
      <x:c r="B234" s="39"/>
      <x:c r="C234" s="31"/>
      <x:c r="D234" s="31"/>
      <x:c r="E234" s="31"/>
      <x:c r="F234" s="31"/>
      <x:c r="G234" s="31"/>
      <x:c r="H234" s="31"/>
      <x:c r="I234" s="31"/>
      <x:c r="J234" s="31"/>
    </x:row>
    <x:row r="235">
      <x:c r="A235" s="31"/>
      <x:c r="B235" s="39"/>
      <x:c r="C235" s="31"/>
      <x:c r="D235" s="31"/>
      <x:c r="E235" s="31"/>
      <x:c r="F235" s="31"/>
      <x:c r="G235" s="31"/>
      <x:c r="H235" s="31"/>
      <x:c r="I235" s="31"/>
      <x:c r="J235" s="31"/>
    </x:row>
    <x:row r="236">
      <x:c r="A236" s="31"/>
      <x:c r="B236" s="39"/>
      <x:c r="C236" s="31"/>
      <x:c r="D236" s="31"/>
      <x:c r="E236" s="31"/>
      <x:c r="F236" s="31"/>
      <x:c r="G236" s="31"/>
      <x:c r="H236" s="31"/>
      <x:c r="I236" s="31"/>
      <x:c r="J236" s="31"/>
    </x:row>
    <x:row r="237">
      <x:c r="A237" s="31"/>
      <x:c r="B237" s="39"/>
      <x:c r="C237" s="31"/>
      <x:c r="D237" s="31"/>
      <x:c r="E237" s="31"/>
      <x:c r="F237" s="31"/>
      <x:c r="G237" s="31"/>
      <x:c r="H237" s="31"/>
      <x:c r="I237" s="31"/>
      <x:c r="J237" s="31"/>
    </x:row>
    <x:row r="238">
      <x:c r="A238" s="31"/>
      <x:c r="B238" s="39"/>
      <x:c r="C238" s="31"/>
      <x:c r="D238" s="31"/>
      <x:c r="E238" s="31"/>
      <x:c r="F238" s="31"/>
      <x:c r="G238" s="31"/>
      <x:c r="H238" s="31"/>
      <x:c r="I238" s="31"/>
      <x:c r="J238" s="31"/>
    </x:row>
    <x:row r="239">
      <x:c r="A239" s="31"/>
      <x:c r="B239" s="39"/>
      <x:c r="C239" s="31"/>
      <x:c r="D239" s="31"/>
      <x:c r="E239" s="31"/>
      <x:c r="F239" s="31"/>
      <x:c r="G239" s="31"/>
      <x:c r="H239" s="31"/>
      <x:c r="I239" s="31"/>
      <x:c r="J239" s="31"/>
    </x:row>
    <x:row r="240">
      <x:c r="A240" s="31"/>
      <x:c r="B240" s="39"/>
      <x:c r="C240" s="31"/>
      <x:c r="D240" s="31"/>
      <x:c r="E240" s="31"/>
      <x:c r="F240" s="31"/>
      <x:c r="G240" s="31"/>
      <x:c r="H240" s="31"/>
      <x:c r="I240" s="31"/>
      <x:c r="J240" s="31"/>
    </x:row>
    <x:row r="241">
      <x:c r="A241" s="31"/>
      <x:c r="B241" s="39"/>
      <x:c r="C241" s="31"/>
      <x:c r="D241" s="31"/>
      <x:c r="E241" s="31"/>
      <x:c r="F241" s="31"/>
      <x:c r="G241" s="31"/>
      <x:c r="H241" s="31"/>
      <x:c r="I241" s="31"/>
      <x:c r="J241" s="31"/>
    </x:row>
    <x:row r="242">
      <x:c r="A242" s="31"/>
      <x:c r="B242" s="39"/>
      <x:c r="C242" s="31"/>
      <x:c r="D242" s="31"/>
      <x:c r="E242" s="31"/>
      <x:c r="F242" s="31"/>
      <x:c r="G242" s="31"/>
      <x:c r="H242" s="31"/>
      <x:c r="I242" s="31"/>
      <x:c r="J242" s="31"/>
    </x:row>
    <x:row r="243">
      <x:c r="A243" s="31"/>
      <x:c r="B243" s="39"/>
      <x:c r="C243" s="31"/>
      <x:c r="D243" s="31"/>
      <x:c r="E243" s="31"/>
      <x:c r="F243" s="31"/>
      <x:c r="G243" s="31"/>
      <x:c r="H243" s="31"/>
      <x:c r="I243" s="31"/>
      <x:c r="J243" s="31"/>
    </x:row>
    <x:row r="244">
      <x:c r="A244" s="31"/>
      <x:c r="B244" s="39"/>
      <x:c r="C244" s="31"/>
      <x:c r="D244" s="31"/>
      <x:c r="E244" s="31"/>
      <x:c r="F244" s="31"/>
      <x:c r="G244" s="31"/>
      <x:c r="H244" s="31"/>
      <x:c r="I244" s="31"/>
      <x:c r="J244" s="31"/>
    </x:row>
    <x:row r="245">
      <x:c r="A245" s="31"/>
      <x:c r="B245" s="39"/>
      <x:c r="C245" s="31"/>
      <x:c r="D245" s="31"/>
      <x:c r="E245" s="31"/>
      <x:c r="F245" s="31"/>
      <x:c r="G245" s="31"/>
      <x:c r="H245" s="31"/>
      <x:c r="I245" s="31"/>
      <x:c r="J245" s="31"/>
    </x:row>
    <x:row r="246">
      <x:c r="A246" s="31"/>
      <x:c r="B246" s="39"/>
      <x:c r="C246" s="31"/>
      <x:c r="D246" s="31"/>
      <x:c r="E246" s="31"/>
      <x:c r="F246" s="31"/>
      <x:c r="G246" s="31"/>
      <x:c r="H246" s="31"/>
      <x:c r="I246" s="31"/>
      <x:c r="J246" s="31"/>
    </x:row>
    <x:row r="247">
      <x:c r="A247" s="31"/>
      <x:c r="B247" s="39"/>
      <x:c r="C247" s="31"/>
      <x:c r="D247" s="31"/>
      <x:c r="E247" s="31"/>
      <x:c r="F247" s="31"/>
      <x:c r="G247" s="31"/>
      <x:c r="H247" s="31"/>
      <x:c r="I247" s="31"/>
      <x:c r="J247" s="31"/>
    </x:row>
    <x:row r="248">
      <x:c r="A248" s="31"/>
      <x:c r="B248" s="39"/>
      <x:c r="C248" s="31"/>
      <x:c r="D248" s="31"/>
      <x:c r="E248" s="31"/>
      <x:c r="F248" s="31"/>
      <x:c r="G248" s="31"/>
      <x:c r="H248" s="31"/>
      <x:c r="I248" s="31"/>
      <x:c r="J248" s="31"/>
    </x:row>
    <x:row r="249">
      <x:c r="A249" s="31"/>
      <x:c r="B249" s="39"/>
      <x:c r="C249" s="31"/>
      <x:c r="D249" s="31"/>
      <x:c r="E249" s="31"/>
      <x:c r="F249" s="31"/>
      <x:c r="G249" s="31"/>
      <x:c r="H249" s="31"/>
      <x:c r="I249" s="31"/>
      <x:c r="J249" s="31"/>
    </x:row>
    <x:row r="250">
      <x:c r="A250" s="31"/>
      <x:c r="B250" s="39"/>
      <x:c r="C250" s="31"/>
      <x:c r="D250" s="31"/>
      <x:c r="E250" s="31"/>
      <x:c r="F250" s="31"/>
      <x:c r="G250" s="31"/>
      <x:c r="H250" s="31"/>
      <x:c r="I250" s="31"/>
      <x:c r="J250" s="31"/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894a84c52a7e4017"/>
  </x:tableParts>
</x:worksheet>
</file>